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hidePivotFieldList="1"/>
  <mc:AlternateContent xmlns:mc="http://schemas.openxmlformats.org/markup-compatibility/2006">
    <mc:Choice Requires="x15">
      <x15ac:absPath xmlns:x15ac="http://schemas.microsoft.com/office/spreadsheetml/2010/11/ac" url="C:\Users\sagar\Downloads\"/>
    </mc:Choice>
  </mc:AlternateContent>
  <xr:revisionPtr revIDLastSave="0" documentId="13_ncr:1_{5972A731-641D-4491-9AC2-3F335D43CC3A}" xr6:coauthVersionLast="47" xr6:coauthVersionMax="47" xr10:uidLastSave="{00000000-0000-0000-0000-000000000000}"/>
  <bookViews>
    <workbookView xWindow="-108" yWindow="-108" windowWidth="23256" windowHeight="12456" xr2:uid="{00000000-000D-0000-FFFF-FFFF00000000}"/>
  </bookViews>
  <sheets>
    <sheet name="Dashboard" sheetId="5" r:id="rId1"/>
    <sheet name="Loan_Data" sheetId="1" r:id="rId2"/>
    <sheet name="Customer_Master" sheetId="2" r:id="rId3"/>
    <sheet name="Risk_Rules" sheetId="3" r:id="rId4"/>
    <sheet name="KPI" sheetId="4" r:id="rId5"/>
  </sheets>
  <definedNames>
    <definedName name="Slicer_LoanType">#N/A</definedName>
    <definedName name="Slicer_Region">#N/A</definedName>
    <definedName name="Slicer_Risk_Level">#N/A</definedName>
    <definedName name="Slicer_Status">#N/A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4" l="1"/>
  <c r="B6" i="4"/>
  <c r="B5" i="4"/>
  <c r="B4" i="4"/>
  <c r="B3" i="4"/>
  <c r="B2" i="4"/>
  <c r="Q3" i="1" a="1"/>
  <c r="Q3" i="1"/>
  <c r="Q4" i="1" a="1"/>
  <c r="Q4" i="1"/>
  <c r="Q5" i="1" a="1"/>
  <c r="Q5" i="1"/>
  <c r="Q6" i="1" a="1"/>
  <c r="Q6" i="1"/>
  <c r="Q7" i="1" a="1"/>
  <c r="Q7" i="1"/>
  <c r="Q8" i="1" a="1"/>
  <c r="Q8" i="1"/>
  <c r="Q9" i="1" a="1"/>
  <c r="Q9" i="1"/>
  <c r="Q10" i="1" a="1"/>
  <c r="Q10" i="1"/>
  <c r="Q11" i="1" a="1"/>
  <c r="Q11" i="1"/>
  <c r="Q12" i="1" a="1"/>
  <c r="Q12" i="1"/>
  <c r="Q13" i="1" a="1"/>
  <c r="Q13" i="1"/>
  <c r="Q14" i="1" a="1"/>
  <c r="Q14" i="1"/>
  <c r="Q15" i="1" a="1"/>
  <c r="Q15" i="1"/>
  <c r="Q16" i="1" a="1"/>
  <c r="Q16" i="1"/>
  <c r="Q17" i="1" a="1"/>
  <c r="Q17" i="1"/>
  <c r="Q18" i="1" a="1"/>
  <c r="Q18" i="1"/>
  <c r="Q19" i="1" a="1"/>
  <c r="Q19" i="1"/>
  <c r="Q20" i="1" a="1"/>
  <c r="Q20" i="1"/>
  <c r="Q21" i="1" a="1"/>
  <c r="Q21" i="1"/>
  <c r="Q22" i="1" a="1"/>
  <c r="Q22" i="1"/>
  <c r="Q23" i="1" a="1"/>
  <c r="Q23" i="1"/>
  <c r="Q24" i="1" a="1"/>
  <c r="Q24" i="1"/>
  <c r="Q25" i="1" a="1"/>
  <c r="Q25" i="1"/>
  <c r="Q26" i="1" a="1"/>
  <c r="Q26" i="1"/>
  <c r="Q27" i="1" a="1"/>
  <c r="Q27" i="1"/>
  <c r="Q28" i="1" a="1"/>
  <c r="Q28" i="1"/>
  <c r="Q29" i="1" a="1"/>
  <c r="Q29" i="1"/>
  <c r="Q30" i="1" a="1"/>
  <c r="Q30" i="1"/>
  <c r="Q31" i="1" a="1"/>
  <c r="Q31" i="1" s="1"/>
  <c r="Q32" i="1" a="1"/>
  <c r="Q32" i="1"/>
  <c r="Q33" i="1" a="1"/>
  <c r="Q33" i="1"/>
  <c r="Q34" i="1" a="1"/>
  <c r="Q34" i="1"/>
  <c r="Q35" i="1" a="1"/>
  <c r="Q35" i="1" s="1"/>
  <c r="Q36" i="1" a="1"/>
  <c r="Q36" i="1"/>
  <c r="Q37" i="1" a="1"/>
  <c r="Q37" i="1"/>
  <c r="Q38" i="1" a="1"/>
  <c r="Q38" i="1"/>
  <c r="Q39" i="1" a="1"/>
  <c r="Q39" i="1" s="1"/>
  <c r="Q40" i="1" a="1"/>
  <c r="Q40" i="1"/>
  <c r="Q41" i="1" a="1"/>
  <c r="Q41" i="1"/>
  <c r="Q42" i="1" a="1"/>
  <c r="Q42" i="1"/>
  <c r="Q43" i="1" a="1"/>
  <c r="Q43" i="1" s="1"/>
  <c r="Q44" i="1" a="1"/>
  <c r="Q44" i="1"/>
  <c r="Q45" i="1" a="1"/>
  <c r="Q45" i="1" s="1"/>
  <c r="Q46" i="1" a="1"/>
  <c r="Q46" i="1"/>
  <c r="Q47" i="1" a="1"/>
  <c r="Q47" i="1" s="1"/>
  <c r="Q48" i="1" a="1"/>
  <c r="Q48" i="1"/>
  <c r="Q49" i="1" a="1"/>
  <c r="Q49" i="1" s="1"/>
  <c r="Q50" i="1" a="1"/>
  <c r="Q50" i="1"/>
  <c r="Q51" i="1" a="1"/>
  <c r="Q51" i="1" s="1"/>
  <c r="Q52" i="1" a="1"/>
  <c r="Q52" i="1"/>
  <c r="Q53" i="1" a="1"/>
  <c r="Q53" i="1"/>
  <c r="Q54" i="1" a="1"/>
  <c r="Q54" i="1" s="1"/>
  <c r="Q55" i="1" a="1"/>
  <c r="Q55" i="1" s="1"/>
  <c r="Q56" i="1" a="1"/>
  <c r="Q56" i="1"/>
  <c r="Q57" i="1" a="1"/>
  <c r="Q57" i="1"/>
  <c r="Q58" i="1" a="1"/>
  <c r="Q58" i="1" s="1"/>
  <c r="Q59" i="1" a="1"/>
  <c r="Q59" i="1" s="1"/>
  <c r="Q60" i="1" a="1"/>
  <c r="Q60" i="1"/>
  <c r="Q61" i="1" a="1"/>
  <c r="Q61" i="1"/>
  <c r="Q62" i="1" a="1"/>
  <c r="Q62" i="1"/>
  <c r="Q63" i="1" a="1"/>
  <c r="Q63" i="1" s="1"/>
  <c r="Q64" i="1" a="1"/>
  <c r="Q64" i="1"/>
  <c r="Q65" i="1" a="1"/>
  <c r="Q65" i="1"/>
  <c r="Q66" i="1" a="1"/>
  <c r="Q66" i="1"/>
  <c r="Q67" i="1" a="1"/>
  <c r="Q67" i="1" s="1"/>
  <c r="Q68" i="1" a="1"/>
  <c r="Q68" i="1"/>
  <c r="Q69" i="1" a="1"/>
  <c r="Q69" i="1"/>
  <c r="Q70" i="1" a="1"/>
  <c r="Q70" i="1"/>
  <c r="Q71" i="1" a="1"/>
  <c r="Q71" i="1" s="1"/>
  <c r="Q72" i="1" a="1"/>
  <c r="Q72" i="1" s="1"/>
  <c r="Q73" i="1" a="1"/>
  <c r="Q73" i="1"/>
  <c r="Q74" i="1" a="1"/>
  <c r="Q74" i="1"/>
  <c r="Q75" i="1" a="1"/>
  <c r="Q75" i="1" s="1"/>
  <c r="Q76" i="1" a="1"/>
  <c r="Q76" i="1"/>
  <c r="Q77" i="1" a="1"/>
  <c r="Q77" i="1" s="1"/>
  <c r="Q78" i="1" a="1"/>
  <c r="Q78" i="1"/>
  <c r="Q79" i="1" a="1"/>
  <c r="Q79" i="1" s="1"/>
  <c r="Q80" i="1" a="1"/>
  <c r="Q80" i="1"/>
  <c r="Q81" i="1" a="1"/>
  <c r="Q81" i="1" s="1"/>
  <c r="Q82" i="1" a="1"/>
  <c r="Q82" i="1"/>
  <c r="Q83" i="1" a="1"/>
  <c r="Q83" i="1" s="1"/>
  <c r="Q84" i="1" a="1"/>
  <c r="Q84" i="1"/>
  <c r="Q85" i="1" a="1"/>
  <c r="Q85" i="1"/>
  <c r="Q86" i="1" a="1"/>
  <c r="Q86" i="1" s="1"/>
  <c r="Q87" i="1" a="1"/>
  <c r="Q87" i="1" s="1"/>
  <c r="Q88" i="1" a="1"/>
  <c r="Q88" i="1"/>
  <c r="Q89" i="1" a="1"/>
  <c r="Q89" i="1"/>
  <c r="Q90" i="1" a="1"/>
  <c r="Q90" i="1" s="1"/>
  <c r="Q91" i="1" a="1"/>
  <c r="Q91" i="1" s="1"/>
  <c r="Q92" i="1" a="1"/>
  <c r="Q92" i="1"/>
  <c r="Q93" i="1" a="1"/>
  <c r="Q93" i="1"/>
  <c r="Q94" i="1" a="1"/>
  <c r="Q94" i="1"/>
  <c r="Q95" i="1" a="1"/>
  <c r="Q95" i="1" s="1"/>
  <c r="Q96" i="1" a="1"/>
  <c r="Q96" i="1"/>
  <c r="Q97" i="1" a="1"/>
  <c r="Q97" i="1"/>
  <c r="Q98" i="1" a="1"/>
  <c r="Q98" i="1"/>
  <c r="Q99" i="1" a="1"/>
  <c r="Q99" i="1" s="1"/>
  <c r="Q100" i="1" a="1"/>
  <c r="Q100" i="1" s="1"/>
  <c r="Q101" i="1" a="1"/>
  <c r="Q101" i="1"/>
  <c r="Q102" i="1" a="1"/>
  <c r="Q102" i="1"/>
  <c r="Q103" i="1" a="1"/>
  <c r="Q103" i="1" s="1"/>
  <c r="Q104" i="1" a="1"/>
  <c r="Q104" i="1" s="1"/>
  <c r="Q105" i="1" a="1"/>
  <c r="Q105" i="1"/>
  <c r="Q106" i="1" a="1"/>
  <c r="Q106" i="1"/>
  <c r="Q107" i="1" a="1"/>
  <c r="Q107" i="1" s="1"/>
  <c r="Q108" i="1" a="1"/>
  <c r="Q108" i="1"/>
  <c r="Q109" i="1" a="1"/>
  <c r="Q109" i="1" s="1"/>
  <c r="Q110" i="1" a="1"/>
  <c r="Q110" i="1"/>
  <c r="Q111" i="1" a="1"/>
  <c r="Q111" i="1" s="1"/>
  <c r="Q112" i="1" a="1"/>
  <c r="Q112" i="1"/>
  <c r="Q113" i="1" a="1"/>
  <c r="Q113" i="1" s="1"/>
  <c r="Q114" i="1" a="1"/>
  <c r="Q114" i="1"/>
  <c r="Q115" i="1" a="1"/>
  <c r="Q115" i="1" s="1"/>
  <c r="Q116" i="1" a="1"/>
  <c r="Q116" i="1"/>
  <c r="Q117" i="1" a="1"/>
  <c r="Q117" i="1"/>
  <c r="Q118" i="1" a="1"/>
  <c r="Q118" i="1" s="1"/>
  <c r="Q119" i="1" a="1"/>
  <c r="Q119" i="1" s="1"/>
  <c r="Q120" i="1" a="1"/>
  <c r="Q120" i="1"/>
  <c r="Q121" i="1" a="1"/>
  <c r="Q121" i="1"/>
  <c r="Q122" i="1" a="1"/>
  <c r="Q122" i="1" s="1"/>
  <c r="Q123" i="1" a="1"/>
  <c r="Q123" i="1" s="1"/>
  <c r="Q124" i="1" a="1"/>
  <c r="Q124" i="1"/>
  <c r="Q125" i="1" a="1"/>
  <c r="Q125" i="1"/>
  <c r="Q126" i="1" a="1"/>
  <c r="Q126" i="1"/>
  <c r="Q127" i="1" a="1"/>
  <c r="Q127" i="1" s="1"/>
  <c r="Q128" i="1" a="1"/>
  <c r="Q128" i="1"/>
  <c r="Q129" i="1" a="1"/>
  <c r="Q129" i="1"/>
  <c r="Q130" i="1" a="1"/>
  <c r="Q130" i="1"/>
  <c r="Q131" i="1" a="1"/>
  <c r="Q131" i="1" s="1"/>
  <c r="Q132" i="1" a="1"/>
  <c r="Q132" i="1" s="1"/>
  <c r="Q133" i="1" a="1"/>
  <c r="Q133" i="1"/>
  <c r="Q134" i="1" a="1"/>
  <c r="Q134" i="1"/>
  <c r="Q135" i="1" a="1"/>
  <c r="Q135" i="1" s="1"/>
  <c r="Q136" i="1" a="1"/>
  <c r="Q136" i="1" s="1"/>
  <c r="Q137" i="1" a="1"/>
  <c r="Q137" i="1"/>
  <c r="Q138" i="1" a="1"/>
  <c r="Q138" i="1"/>
  <c r="Q139" i="1" a="1"/>
  <c r="Q139" i="1" s="1"/>
  <c r="Q140" i="1" a="1"/>
  <c r="Q140" i="1"/>
  <c r="Q141" i="1" a="1"/>
  <c r="Q141" i="1" s="1"/>
  <c r="Q142" i="1" a="1"/>
  <c r="Q142" i="1"/>
  <c r="Q143" i="1" a="1"/>
  <c r="Q143" i="1" s="1"/>
  <c r="Q144" i="1" a="1"/>
  <c r="Q144" i="1"/>
  <c r="Q145" i="1" a="1"/>
  <c r="Q145" i="1" s="1"/>
  <c r="Q146" i="1" a="1"/>
  <c r="Q146" i="1"/>
  <c r="Q147" i="1" a="1"/>
  <c r="Q147" i="1" s="1"/>
  <c r="Q148" i="1" a="1"/>
  <c r="Q148" i="1"/>
  <c r="Q149" i="1" a="1"/>
  <c r="Q149" i="1"/>
  <c r="Q150" i="1" a="1"/>
  <c r="Q150" i="1" s="1"/>
  <c r="Q151" i="1" a="1"/>
  <c r="Q151" i="1" s="1"/>
  <c r="Q152" i="1" a="1"/>
  <c r="Q152" i="1"/>
  <c r="Q153" i="1" a="1"/>
  <c r="Q153" i="1"/>
  <c r="Q154" i="1" a="1"/>
  <c r="Q154" i="1" s="1"/>
  <c r="Q155" i="1" a="1"/>
  <c r="Q155" i="1" s="1"/>
  <c r="Q156" i="1" a="1"/>
  <c r="Q156" i="1"/>
  <c r="Q157" i="1" a="1"/>
  <c r="Q157" i="1"/>
  <c r="Q158" i="1" a="1"/>
  <c r="Q158" i="1"/>
  <c r="Q159" i="1" a="1"/>
  <c r="Q159" i="1" s="1"/>
  <c r="Q160" i="1" a="1"/>
  <c r="Q160" i="1"/>
  <c r="Q161" i="1" a="1"/>
  <c r="Q161" i="1"/>
  <c r="Q162" i="1" a="1"/>
  <c r="Q162" i="1"/>
  <c r="Q163" i="1" a="1"/>
  <c r="Q163" i="1" s="1"/>
  <c r="Q164" i="1" a="1"/>
  <c r="Q164" i="1" s="1"/>
  <c r="Q165" i="1" a="1"/>
  <c r="Q165" i="1"/>
  <c r="Q166" i="1" a="1"/>
  <c r="Q166" i="1"/>
  <c r="Q167" i="1" a="1"/>
  <c r="Q167" i="1" s="1"/>
  <c r="Q168" i="1" a="1"/>
  <c r="Q168" i="1" s="1"/>
  <c r="Q169" i="1" a="1"/>
  <c r="Q169" i="1"/>
  <c r="Q170" i="1" a="1"/>
  <c r="Q170" i="1"/>
  <c r="Q171" i="1" a="1"/>
  <c r="Q171" i="1" s="1"/>
  <c r="Q172" i="1" a="1"/>
  <c r="Q172" i="1"/>
  <c r="Q173" i="1" a="1"/>
  <c r="Q173" i="1" s="1"/>
  <c r="Q174" i="1" a="1"/>
  <c r="Q174" i="1"/>
  <c r="Q175" i="1" a="1"/>
  <c r="Q175" i="1" s="1"/>
  <c r="Q176" i="1" a="1"/>
  <c r="Q176" i="1"/>
  <c r="Q177" i="1" a="1"/>
  <c r="Q177" i="1" s="1"/>
  <c r="Q178" i="1" a="1"/>
  <c r="Q178" i="1"/>
  <c r="Q179" i="1" a="1"/>
  <c r="Q179" i="1" s="1"/>
  <c r="Q180" i="1" a="1"/>
  <c r="Q180" i="1"/>
  <c r="Q181" i="1" a="1"/>
  <c r="Q181" i="1"/>
  <c r="Q182" i="1" a="1"/>
  <c r="Q182" i="1" s="1"/>
  <c r="Q183" i="1" a="1"/>
  <c r="Q183" i="1" s="1"/>
  <c r="Q184" i="1" a="1"/>
  <c r="Q184" i="1"/>
  <c r="Q185" i="1" a="1"/>
  <c r="Q185" i="1"/>
  <c r="Q186" i="1" a="1"/>
  <c r="Q186" i="1" s="1"/>
  <c r="Q187" i="1" a="1"/>
  <c r="Q187" i="1" s="1"/>
  <c r="Q188" i="1" a="1"/>
  <c r="Q188" i="1"/>
  <c r="Q189" i="1" a="1"/>
  <c r="Q189" i="1"/>
  <c r="Q190" i="1" a="1"/>
  <c r="Q190" i="1"/>
  <c r="Q191" i="1" a="1"/>
  <c r="Q191" i="1" s="1"/>
  <c r="Q192" i="1" a="1"/>
  <c r="Q192" i="1"/>
  <c r="Q193" i="1" a="1"/>
  <c r="Q193" i="1"/>
  <c r="Q194" i="1" a="1"/>
  <c r="Q194" i="1"/>
  <c r="Q195" i="1" a="1"/>
  <c r="Q195" i="1" s="1"/>
  <c r="Q196" i="1" a="1"/>
  <c r="Q196" i="1" s="1"/>
  <c r="Q197" i="1" a="1"/>
  <c r="Q197" i="1"/>
  <c r="Q198" i="1" a="1"/>
  <c r="Q198" i="1"/>
  <c r="Q199" i="1" a="1"/>
  <c r="Q199" i="1" s="1"/>
  <c r="Q200" i="1" a="1"/>
  <c r="Q200" i="1" s="1"/>
  <c r="Q201" i="1" a="1"/>
  <c r="Q201" i="1"/>
  <c r="Q202" i="1" a="1"/>
  <c r="Q202" i="1"/>
  <c r="Q203" i="1" a="1"/>
  <c r="Q203" i="1" s="1"/>
  <c r="Q204" i="1" a="1"/>
  <c r="Q204" i="1"/>
  <c r="Q205" i="1" a="1"/>
  <c r="Q205" i="1" s="1"/>
  <c r="Q206" i="1" a="1"/>
  <c r="Q206" i="1"/>
  <c r="Q207" i="1" a="1"/>
  <c r="Q207" i="1" s="1"/>
  <c r="Q208" i="1" a="1"/>
  <c r="Q208" i="1"/>
  <c r="Q209" i="1" a="1"/>
  <c r="Q209" i="1" s="1"/>
  <c r="Q210" i="1" a="1"/>
  <c r="Q210" i="1"/>
  <c r="Q211" i="1" a="1"/>
  <c r="Q211" i="1" s="1"/>
  <c r="Q212" i="1" a="1"/>
  <c r="Q212" i="1"/>
  <c r="Q213" i="1" a="1"/>
  <c r="Q213" i="1"/>
  <c r="Q214" i="1" a="1"/>
  <c r="Q214" i="1" s="1"/>
  <c r="Q215" i="1" a="1"/>
  <c r="Q215" i="1" s="1"/>
  <c r="Q216" i="1" a="1"/>
  <c r="Q216" i="1"/>
  <c r="Q217" i="1" a="1"/>
  <c r="Q217" i="1"/>
  <c r="Q218" i="1" a="1"/>
  <c r="Q218" i="1" s="1"/>
  <c r="Q219" i="1" a="1"/>
  <c r="Q219" i="1" s="1"/>
  <c r="Q220" i="1" a="1"/>
  <c r="Q220" i="1"/>
  <c r="Q221" i="1" a="1"/>
  <c r="Q221" i="1"/>
  <c r="Q222" i="1" a="1"/>
  <c r="Q222" i="1"/>
  <c r="Q223" i="1" a="1"/>
  <c r="Q223" i="1" s="1"/>
  <c r="Q224" i="1" a="1"/>
  <c r="Q224" i="1"/>
  <c r="Q225" i="1" a="1"/>
  <c r="Q225" i="1"/>
  <c r="Q226" i="1" a="1"/>
  <c r="Q226" i="1"/>
  <c r="Q227" i="1" a="1"/>
  <c r="Q227" i="1" s="1"/>
  <c r="Q228" i="1" a="1"/>
  <c r="Q228" i="1" s="1"/>
  <c r="Q229" i="1" a="1"/>
  <c r="Q229" i="1"/>
  <c r="Q230" i="1" a="1"/>
  <c r="Q230" i="1"/>
  <c r="Q231" i="1" a="1"/>
  <c r="Q231" i="1" s="1"/>
  <c r="Q232" i="1" a="1"/>
  <c r="Q232" i="1" s="1"/>
  <c r="Q233" i="1" a="1"/>
  <c r="Q233" i="1"/>
  <c r="Q234" i="1" a="1"/>
  <c r="Q234" i="1"/>
  <c r="Q235" i="1" a="1"/>
  <c r="Q235" i="1" s="1"/>
  <c r="Q236" i="1" a="1"/>
  <c r="Q236" i="1"/>
  <c r="Q237" i="1" a="1"/>
  <c r="Q237" i="1" s="1"/>
  <c r="Q238" i="1" a="1"/>
  <c r="Q238" i="1"/>
  <c r="Q239" i="1" a="1"/>
  <c r="Q239" i="1" s="1"/>
  <c r="Q240" i="1" a="1"/>
  <c r="Q240" i="1"/>
  <c r="Q241" i="1" a="1"/>
  <c r="Q241" i="1" s="1"/>
  <c r="Q242" i="1" a="1"/>
  <c r="Q242" i="1"/>
  <c r="Q243" i="1" a="1"/>
  <c r="Q243" i="1" s="1"/>
  <c r="Q244" i="1" a="1"/>
  <c r="Q244" i="1"/>
  <c r="Q245" i="1" a="1"/>
  <c r="Q245" i="1"/>
  <c r="Q246" i="1" a="1"/>
  <c r="Q246" i="1" s="1"/>
  <c r="Q247" i="1" a="1"/>
  <c r="Q247" i="1" s="1"/>
  <c r="Q248" i="1" a="1"/>
  <c r="Q248" i="1"/>
  <c r="Q249" i="1" a="1"/>
  <c r="Q249" i="1"/>
  <c r="Q250" i="1" a="1"/>
  <c r="Q250" i="1" s="1"/>
  <c r="Q251" i="1" a="1"/>
  <c r="Q251" i="1" s="1"/>
  <c r="Q252" i="1" a="1"/>
  <c r="Q252" i="1"/>
  <c r="Q253" i="1" a="1"/>
  <c r="Q253" i="1"/>
  <c r="Q254" i="1" a="1"/>
  <c r="Q254" i="1"/>
  <c r="Q255" i="1" a="1"/>
  <c r="Q255" i="1" s="1"/>
  <c r="Q256" i="1" a="1"/>
  <c r="Q256" i="1"/>
  <c r="Q257" i="1" a="1"/>
  <c r="Q257" i="1"/>
  <c r="Q258" i="1" a="1"/>
  <c r="Q258" i="1"/>
  <c r="Q259" i="1" a="1"/>
  <c r="Q259" i="1" s="1"/>
  <c r="Q260" i="1" a="1"/>
  <c r="Q260" i="1" s="1"/>
  <c r="Q261" i="1" a="1"/>
  <c r="Q261" i="1"/>
  <c r="Q262" i="1" a="1"/>
  <c r="Q262" i="1"/>
  <c r="Q263" i="1" a="1"/>
  <c r="Q263" i="1" s="1"/>
  <c r="Q264" i="1" a="1"/>
  <c r="Q264" i="1" s="1"/>
  <c r="Q265" i="1" a="1"/>
  <c r="Q265" i="1"/>
  <c r="Q266" i="1" a="1"/>
  <c r="Q266" i="1"/>
  <c r="Q267" i="1" a="1"/>
  <c r="Q267" i="1" s="1"/>
  <c r="Q268" i="1" a="1"/>
  <c r="Q268" i="1"/>
  <c r="Q269" i="1" a="1"/>
  <c r="Q269" i="1" s="1"/>
  <c r="Q270" i="1" a="1"/>
  <c r="Q270" i="1"/>
  <c r="Q271" i="1" a="1"/>
  <c r="Q271" i="1" s="1"/>
  <c r="Q272" i="1" a="1"/>
  <c r="Q272" i="1"/>
  <c r="Q273" i="1" a="1"/>
  <c r="Q273" i="1" s="1"/>
  <c r="Q274" i="1" a="1"/>
  <c r="Q274" i="1"/>
  <c r="Q275" i="1" a="1"/>
  <c r="Q275" i="1" s="1"/>
  <c r="Q276" i="1" a="1"/>
  <c r="Q276" i="1"/>
  <c r="Q277" i="1" a="1"/>
  <c r="Q277" i="1"/>
  <c r="Q278" i="1" a="1"/>
  <c r="Q278" i="1" s="1"/>
  <c r="Q279" i="1" a="1"/>
  <c r="Q279" i="1" s="1"/>
  <c r="Q280" i="1" a="1"/>
  <c r="Q280" i="1"/>
  <c r="Q281" i="1" a="1"/>
  <c r="Q281" i="1"/>
  <c r="Q282" i="1" a="1"/>
  <c r="Q282" i="1" s="1"/>
  <c r="Q283" i="1" a="1"/>
  <c r="Q283" i="1" s="1"/>
  <c r="Q284" i="1" a="1"/>
  <c r="Q284" i="1"/>
  <c r="Q285" i="1" a="1"/>
  <c r="Q285" i="1"/>
  <c r="Q286" i="1" a="1"/>
  <c r="Q286" i="1"/>
  <c r="Q287" i="1" a="1"/>
  <c r="Q287" i="1" s="1"/>
  <c r="Q288" i="1" a="1"/>
  <c r="Q288" i="1"/>
  <c r="Q289" i="1" a="1"/>
  <c r="Q289" i="1"/>
  <c r="Q290" i="1" a="1"/>
  <c r="Q290" i="1"/>
  <c r="Q291" i="1" a="1"/>
  <c r="Q291" i="1" s="1"/>
  <c r="Q292" i="1" a="1"/>
  <c r="Q292" i="1" s="1"/>
  <c r="Q293" i="1" a="1"/>
  <c r="Q293" i="1"/>
  <c r="Q294" i="1" a="1"/>
  <c r="Q294" i="1"/>
  <c r="Q295" i="1" a="1"/>
  <c r="Q295" i="1" s="1"/>
  <c r="Q296" i="1" a="1"/>
  <c r="Q296" i="1" s="1"/>
  <c r="Q297" i="1" a="1"/>
  <c r="Q297" i="1"/>
  <c r="Q298" i="1" a="1"/>
  <c r="Q298" i="1"/>
  <c r="Q299" i="1" a="1"/>
  <c r="Q299" i="1" s="1"/>
  <c r="Q300" i="1" a="1"/>
  <c r="Q300" i="1"/>
  <c r="Q301" i="1" a="1"/>
  <c r="Q301" i="1" s="1"/>
  <c r="Q302" i="1" a="1"/>
  <c r="Q302" i="1"/>
  <c r="Q303" i="1" a="1"/>
  <c r="Q303" i="1" s="1"/>
  <c r="Q304" i="1" a="1"/>
  <c r="Q304" i="1"/>
  <c r="Q305" i="1" a="1"/>
  <c r="Q305" i="1" s="1"/>
  <c r="Q306" i="1" a="1"/>
  <c r="Q306" i="1"/>
  <c r="Q307" i="1" a="1"/>
  <c r="Q307" i="1" s="1"/>
  <c r="Q308" i="1" a="1"/>
  <c r="Q308" i="1"/>
  <c r="Q309" i="1" a="1"/>
  <c r="Q309" i="1"/>
  <c r="Q310" i="1" a="1"/>
  <c r="Q310" i="1" s="1"/>
  <c r="Q311" i="1" a="1"/>
  <c r="Q311" i="1" s="1"/>
  <c r="Q312" i="1" a="1"/>
  <c r="Q312" i="1"/>
  <c r="Q313" i="1" a="1"/>
  <c r="Q313" i="1"/>
  <c r="Q314" i="1" a="1"/>
  <c r="Q314" i="1" s="1"/>
  <c r="Q315" i="1" a="1"/>
  <c r="Q315" i="1" s="1"/>
  <c r="Q316" i="1" a="1"/>
  <c r="Q316" i="1"/>
  <c r="Q317" i="1" a="1"/>
  <c r="Q317" i="1"/>
  <c r="Q318" i="1" a="1"/>
  <c r="Q318" i="1"/>
  <c r="Q319" i="1" a="1"/>
  <c r="Q319" i="1" s="1"/>
  <c r="Q320" i="1" a="1"/>
  <c r="Q320" i="1"/>
  <c r="Q321" i="1" a="1"/>
  <c r="Q321" i="1"/>
  <c r="Q322" i="1" a="1"/>
  <c r="Q322" i="1"/>
  <c r="Q323" i="1" a="1"/>
  <c r="Q323" i="1" s="1"/>
  <c r="Q324" i="1" a="1"/>
  <c r="Q324" i="1" s="1"/>
  <c r="Q325" i="1" a="1"/>
  <c r="Q325" i="1"/>
  <c r="Q326" i="1" a="1"/>
  <c r="Q326" i="1"/>
  <c r="Q327" i="1" a="1"/>
  <c r="Q327" i="1" s="1"/>
  <c r="Q328" i="1" a="1"/>
  <c r="Q328" i="1" s="1"/>
  <c r="Q329" i="1" a="1"/>
  <c r="Q329" i="1"/>
  <c r="Q330" i="1" a="1"/>
  <c r="Q330" i="1"/>
  <c r="Q331" i="1" a="1"/>
  <c r="Q331" i="1" s="1"/>
  <c r="Q332" i="1" a="1"/>
  <c r="Q332" i="1"/>
  <c r="Q333" i="1" a="1"/>
  <c r="Q333" i="1" s="1"/>
  <c r="Q334" i="1" a="1"/>
  <c r="Q334" i="1"/>
  <c r="Q335" i="1" a="1"/>
  <c r="Q335" i="1" s="1"/>
  <c r="Q336" i="1" a="1"/>
  <c r="Q336" i="1"/>
  <c r="Q337" i="1" a="1"/>
  <c r="Q337" i="1" s="1"/>
  <c r="Q338" i="1" a="1"/>
  <c r="Q338" i="1"/>
  <c r="Q339" i="1" a="1"/>
  <c r="Q339" i="1" s="1"/>
  <c r="Q340" i="1" a="1"/>
  <c r="Q340" i="1"/>
  <c r="Q341" i="1" a="1"/>
  <c r="Q341" i="1"/>
  <c r="Q342" i="1" a="1"/>
  <c r="Q342" i="1" s="1"/>
  <c r="Q343" i="1" a="1"/>
  <c r="Q343" i="1" s="1"/>
  <c r="Q344" i="1" a="1"/>
  <c r="Q344" i="1"/>
  <c r="Q345" i="1" a="1"/>
  <c r="Q345" i="1"/>
  <c r="Q346" i="1" a="1"/>
  <c r="Q346" i="1" s="1"/>
  <c r="Q347" i="1" a="1"/>
  <c r="Q347" i="1" s="1"/>
  <c r="Q348" i="1" a="1"/>
  <c r="Q348" i="1"/>
  <c r="Q349" i="1" a="1"/>
  <c r="Q349" i="1"/>
  <c r="Q350" i="1" a="1"/>
  <c r="Q350" i="1"/>
  <c r="Q351" i="1" a="1"/>
  <c r="Q351" i="1" s="1"/>
  <c r="Q352" i="1" a="1"/>
  <c r="Q352" i="1"/>
  <c r="Q353" i="1" a="1"/>
  <c r="Q353" i="1"/>
  <c r="Q354" i="1" a="1"/>
  <c r="Q354" i="1"/>
  <c r="Q355" i="1" a="1"/>
  <c r="Q355" i="1" s="1"/>
  <c r="Q356" i="1" a="1"/>
  <c r="Q356" i="1" s="1"/>
  <c r="Q357" i="1" a="1"/>
  <c r="Q357" i="1"/>
  <c r="Q358" i="1" a="1"/>
  <c r="Q358" i="1"/>
  <c r="Q359" i="1" a="1"/>
  <c r="Q359" i="1" s="1"/>
  <c r="Q360" i="1" a="1"/>
  <c r="Q360" i="1" s="1"/>
  <c r="Q361" i="1" a="1"/>
  <c r="Q361" i="1"/>
  <c r="Q362" i="1" a="1"/>
  <c r="Q362" i="1"/>
  <c r="Q363" i="1" a="1"/>
  <c r="Q363" i="1" s="1"/>
  <c r="Q364" i="1" a="1"/>
  <c r="Q364" i="1"/>
  <c r="Q365" i="1" a="1"/>
  <c r="Q365" i="1" s="1"/>
  <c r="Q366" i="1" a="1"/>
  <c r="Q366" i="1"/>
  <c r="Q367" i="1" a="1"/>
  <c r="Q367" i="1" s="1"/>
  <c r="Q368" i="1" a="1"/>
  <c r="Q368" i="1"/>
  <c r="Q369" i="1" a="1"/>
  <c r="Q369" i="1" s="1"/>
  <c r="Q370" i="1" a="1"/>
  <c r="Q370" i="1"/>
  <c r="Q371" i="1" a="1"/>
  <c r="Q371" i="1"/>
  <c r="Q372" i="1" a="1"/>
  <c r="Q372" i="1"/>
  <c r="Q373" i="1" a="1"/>
  <c r="Q373" i="1" s="1"/>
  <c r="Q374" i="1" a="1"/>
  <c r="Q374" i="1"/>
  <c r="Q375" i="1" a="1"/>
  <c r="Q375" i="1"/>
  <c r="Q376" i="1" a="1"/>
  <c r="Q376" i="1"/>
  <c r="Q377" i="1" a="1"/>
  <c r="Q377" i="1" s="1"/>
  <c r="Q378" i="1" a="1"/>
  <c r="Q378" i="1"/>
  <c r="Q379" i="1" a="1"/>
  <c r="Q379" i="1"/>
  <c r="Q380" i="1" a="1"/>
  <c r="Q380" i="1"/>
  <c r="Q381" i="1" a="1"/>
  <c r="Q381" i="1" s="1"/>
  <c r="Q382" i="1" a="1"/>
  <c r="Q382" i="1"/>
  <c r="Q383" i="1" a="1"/>
  <c r="Q383" i="1"/>
  <c r="Q384" i="1" a="1"/>
  <c r="Q384" i="1"/>
  <c r="Q385" i="1" a="1"/>
  <c r="Q385" i="1" s="1"/>
  <c r="Q386" i="1" a="1"/>
  <c r="Q386" i="1"/>
  <c r="Q387" i="1" a="1"/>
  <c r="Q387" i="1"/>
  <c r="Q388" i="1" a="1"/>
  <c r="Q388" i="1"/>
  <c r="Q389" i="1" a="1"/>
  <c r="Q389" i="1" s="1"/>
  <c r="Q390" i="1" a="1"/>
  <c r="Q390" i="1"/>
  <c r="Q391" i="1" a="1"/>
  <c r="Q391" i="1"/>
  <c r="Q392" i="1" a="1"/>
  <c r="Q392" i="1"/>
  <c r="Q393" i="1" a="1"/>
  <c r="Q393" i="1" s="1"/>
  <c r="Q394" i="1" a="1"/>
  <c r="Q394" i="1"/>
  <c r="Q395" i="1" a="1"/>
  <c r="Q395" i="1"/>
  <c r="Q396" i="1" a="1"/>
  <c r="Q396" i="1"/>
  <c r="Q397" i="1" a="1"/>
  <c r="Q397" i="1" s="1"/>
  <c r="Q398" i="1" a="1"/>
  <c r="Q398" i="1"/>
  <c r="Q399" i="1" a="1"/>
  <c r="Q399" i="1"/>
  <c r="Q400" i="1" a="1"/>
  <c r="Q400" i="1"/>
  <c r="Q401" i="1" a="1"/>
  <c r="Q401" i="1" s="1"/>
  <c r="Q402" i="1" a="1"/>
  <c r="Q402" i="1"/>
  <c r="Q403" i="1" a="1"/>
  <c r="Q403" i="1"/>
  <c r="Q404" i="1" a="1"/>
  <c r="Q404" i="1"/>
  <c r="Q405" i="1" a="1"/>
  <c r="Q405" i="1" s="1"/>
  <c r="Q406" i="1" a="1"/>
  <c r="Q406" i="1"/>
  <c r="Q407" i="1" a="1"/>
  <c r="Q407" i="1"/>
  <c r="Q408" i="1" a="1"/>
  <c r="Q408" i="1"/>
  <c r="Q409" i="1" a="1"/>
  <c r="Q409" i="1" s="1"/>
  <c r="Q410" i="1" a="1"/>
  <c r="Q410" i="1"/>
  <c r="Q411" i="1" a="1"/>
  <c r="Q411" i="1"/>
  <c r="Q412" i="1" a="1"/>
  <c r="Q412" i="1"/>
  <c r="Q413" i="1" a="1"/>
  <c r="Q413" i="1" s="1"/>
  <c r="Q414" i="1" a="1"/>
  <c r="Q414" i="1"/>
  <c r="Q415" i="1" a="1"/>
  <c r="Q415" i="1"/>
  <c r="Q416" i="1" a="1"/>
  <c r="Q416" i="1"/>
  <c r="Q417" i="1" a="1"/>
  <c r="Q417" i="1" s="1"/>
  <c r="Q418" i="1" a="1"/>
  <c r="Q418" i="1"/>
  <c r="Q419" i="1" a="1"/>
  <c r="Q419" i="1"/>
  <c r="Q420" i="1" a="1"/>
  <c r="Q420" i="1"/>
  <c r="Q421" i="1" a="1"/>
  <c r="Q421" i="1" s="1"/>
  <c r="Q422" i="1" a="1"/>
  <c r="Q422" i="1"/>
  <c r="Q423" i="1" a="1"/>
  <c r="Q423" i="1"/>
  <c r="Q424" i="1" a="1"/>
  <c r="Q424" i="1"/>
  <c r="Q425" i="1" a="1"/>
  <c r="Q425" i="1" s="1"/>
  <c r="Q426" i="1" a="1"/>
  <c r="Q426" i="1"/>
  <c r="Q427" i="1" a="1"/>
  <c r="Q427" i="1"/>
  <c r="Q428" i="1" a="1"/>
  <c r="Q428" i="1"/>
  <c r="Q429" i="1" a="1"/>
  <c r="Q429" i="1" s="1"/>
  <c r="Q430" i="1" a="1"/>
  <c r="Q430" i="1"/>
  <c r="Q431" i="1" a="1"/>
  <c r="Q431" i="1"/>
  <c r="Q432" i="1" a="1"/>
  <c r="Q432" i="1"/>
  <c r="Q433" i="1" a="1"/>
  <c r="Q433" i="1" s="1"/>
  <c r="Q434" i="1" a="1"/>
  <c r="Q434" i="1" s="1"/>
  <c r="Q435" i="1" a="1"/>
  <c r="Q435" i="1"/>
  <c r="Q436" i="1" a="1"/>
  <c r="Q436" i="1"/>
  <c r="Q437" i="1" a="1"/>
  <c r="Q437" i="1" s="1"/>
  <c r="Q438" i="1" a="1"/>
  <c r="Q438" i="1" s="1"/>
  <c r="Q439" i="1" a="1"/>
  <c r="Q439" i="1"/>
  <c r="Q440" i="1" a="1"/>
  <c r="Q440" i="1"/>
  <c r="Q441" i="1" a="1"/>
  <c r="Q441" i="1" s="1"/>
  <c r="Q442" i="1" a="1"/>
  <c r="Q442" i="1" s="1"/>
  <c r="Q443" i="1" a="1"/>
  <c r="Q443" i="1"/>
  <c r="Q444" i="1" a="1"/>
  <c r="Q444" i="1"/>
  <c r="Q445" i="1" a="1"/>
  <c r="Q445" i="1" s="1"/>
  <c r="Q446" i="1" a="1"/>
  <c r="Q446" i="1" s="1"/>
  <c r="Q447" i="1" a="1"/>
  <c r="Q447" i="1"/>
  <c r="Q448" i="1" a="1"/>
  <c r="Q448" i="1"/>
  <c r="Q449" i="1" a="1"/>
  <c r="Q449" i="1" s="1"/>
  <c r="Q450" i="1" a="1"/>
  <c r="Q450" i="1" s="1"/>
  <c r="Q451" i="1" a="1"/>
  <c r="Q451" i="1"/>
  <c r="Q452" i="1" a="1"/>
  <c r="Q452" i="1"/>
  <c r="Q453" i="1" a="1"/>
  <c r="Q453" i="1" s="1"/>
  <c r="Q454" i="1" a="1"/>
  <c r="Q454" i="1" s="1"/>
  <c r="Q455" i="1" a="1"/>
  <c r="Q455" i="1"/>
  <c r="Q456" i="1" a="1"/>
  <c r="Q456" i="1"/>
  <c r="Q457" i="1" a="1"/>
  <c r="Q457" i="1" s="1"/>
  <c r="Q458" i="1" a="1"/>
  <c r="Q458" i="1" s="1"/>
  <c r="Q459" i="1" a="1"/>
  <c r="Q459" i="1"/>
  <c r="Q460" i="1" a="1"/>
  <c r="Q460" i="1"/>
  <c r="Q461" i="1" a="1"/>
  <c r="Q461" i="1" s="1"/>
  <c r="Q462" i="1" a="1"/>
  <c r="Q462" i="1" s="1"/>
  <c r="Q463" i="1" a="1"/>
  <c r="Q463" i="1"/>
  <c r="Q464" i="1" a="1"/>
  <c r="Q464" i="1"/>
  <c r="Q465" i="1" a="1"/>
  <c r="Q465" i="1" s="1"/>
  <c r="Q466" i="1" a="1"/>
  <c r="Q466" i="1" s="1"/>
  <c r="Q467" i="1" a="1"/>
  <c r="Q467" i="1"/>
  <c r="Q468" i="1" a="1"/>
  <c r="Q468" i="1"/>
  <c r="Q469" i="1" a="1"/>
  <c r="Q469" i="1" s="1"/>
  <c r="Q470" i="1" a="1"/>
  <c r="Q470" i="1" s="1"/>
  <c r="Q471" i="1" a="1"/>
  <c r="Q471" i="1"/>
  <c r="Q472" i="1" a="1"/>
  <c r="Q472" i="1"/>
  <c r="Q473" i="1" a="1"/>
  <c r="Q473" i="1" s="1"/>
  <c r="Q474" i="1" a="1"/>
  <c r="Q474" i="1" s="1"/>
  <c r="Q475" i="1" a="1"/>
  <c r="Q475" i="1"/>
  <c r="Q476" i="1" a="1"/>
  <c r="Q476" i="1"/>
  <c r="Q477" i="1" a="1"/>
  <c r="Q477" i="1" s="1"/>
  <c r="Q478" i="1" a="1"/>
  <c r="Q478" i="1" s="1"/>
  <c r="Q479" i="1" a="1"/>
  <c r="Q479" i="1"/>
  <c r="Q480" i="1" a="1"/>
  <c r="Q480" i="1"/>
  <c r="Q481" i="1" a="1"/>
  <c r="Q481" i="1" s="1"/>
  <c r="Q482" i="1" a="1"/>
  <c r="Q482" i="1" s="1"/>
  <c r="Q483" i="1" a="1"/>
  <c r="Q483" i="1"/>
  <c r="Q484" i="1" a="1"/>
  <c r="Q484" i="1"/>
  <c r="Q485" i="1" a="1"/>
  <c r="Q485" i="1" s="1"/>
  <c r="Q486" i="1" a="1"/>
  <c r="Q486" i="1" s="1"/>
  <c r="Q487" i="1" a="1"/>
  <c r="Q487" i="1"/>
  <c r="Q488" i="1" a="1"/>
  <c r="Q488" i="1"/>
  <c r="Q489" i="1" a="1"/>
  <c r="Q489" i="1" s="1"/>
  <c r="Q490" i="1" a="1"/>
  <c r="Q490" i="1" s="1"/>
  <c r="Q491" i="1" a="1"/>
  <c r="Q491" i="1"/>
  <c r="Q492" i="1" a="1"/>
  <c r="Q492" i="1"/>
  <c r="Q493" i="1" a="1"/>
  <c r="Q493" i="1" s="1"/>
  <c r="Q494" i="1" a="1"/>
  <c r="Q494" i="1" s="1"/>
  <c r="Q495" i="1" a="1"/>
  <c r="Q495" i="1"/>
  <c r="Q496" i="1" a="1"/>
  <c r="Q496" i="1"/>
  <c r="Q497" i="1" a="1"/>
  <c r="Q497" i="1" s="1"/>
  <c r="Q498" i="1" a="1"/>
  <c r="Q498" i="1" s="1"/>
  <c r="Q499" i="1" a="1"/>
  <c r="Q499" i="1"/>
  <c r="Q500" i="1" a="1"/>
  <c r="Q500" i="1"/>
  <c r="Q501" i="1" a="1"/>
  <c r="Q501" i="1" s="1"/>
  <c r="Q2" i="1" a="1"/>
  <c r="Q2" i="1" s="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2"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3" i="1"/>
  <c r="N4" i="1"/>
  <c r="N5" i="1"/>
  <c r="N6" i="1"/>
  <c r="N7" i="1"/>
  <c r="N8" i="1"/>
  <c r="N9" i="1"/>
  <c r="N10" i="1"/>
  <c r="N11" i="1"/>
  <c r="N12" i="1"/>
  <c r="N13" i="1"/>
  <c r="N14" i="1"/>
  <c r="N15" i="1"/>
  <c r="N16" i="1"/>
  <c r="N17" i="1"/>
  <c r="N18" i="1"/>
  <c r="N19" i="1"/>
  <c r="N20" i="1"/>
  <c r="N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<sst xmlns="http://schemas.openxmlformats.org/spreadsheetml/2006/main" count="3581" uniqueCount="968">
  <si>
    <t>LoanID</t>
  </si>
  <si>
    <t>CustomerID</t>
  </si>
  <si>
    <t>Age</t>
  </si>
  <si>
    <t>Income</t>
  </si>
  <si>
    <t>LoanAmount</t>
  </si>
  <si>
    <t>InterestRate</t>
  </si>
  <si>
    <t>TenureMonths</t>
  </si>
  <si>
    <t>CreditScore</t>
  </si>
  <si>
    <t>Region</t>
  </si>
  <si>
    <t>LoanType</t>
  </si>
  <si>
    <t>EMI</t>
  </si>
  <si>
    <t>Status</t>
  </si>
  <si>
    <t>StartDate</t>
  </si>
  <si>
    <t>L00001</t>
  </si>
  <si>
    <t>C0174</t>
  </si>
  <si>
    <t>North</t>
  </si>
  <si>
    <t>Business Loan</t>
  </si>
  <si>
    <t>Closed</t>
  </si>
  <si>
    <t>L00002</t>
  </si>
  <si>
    <t>C0180</t>
  </si>
  <si>
    <t>East</t>
  </si>
  <si>
    <t>Car Loan</t>
  </si>
  <si>
    <t>Active</t>
  </si>
  <si>
    <t>L00003</t>
  </si>
  <si>
    <t>C0166</t>
  </si>
  <si>
    <t>L00004</t>
  </si>
  <si>
    <t>C0104</t>
  </si>
  <si>
    <t>South</t>
  </si>
  <si>
    <t>Home Loan</t>
  </si>
  <si>
    <t>L00005</t>
  </si>
  <si>
    <t>C0182</t>
  </si>
  <si>
    <t>West</t>
  </si>
  <si>
    <t>L00006</t>
  </si>
  <si>
    <t>C0006</t>
  </si>
  <si>
    <t>Defaulted</t>
  </si>
  <si>
    <t>L00007</t>
  </si>
  <si>
    <t>C0094</t>
  </si>
  <si>
    <t>L00008</t>
  </si>
  <si>
    <t>C0089</t>
  </si>
  <si>
    <t>Personal Loan</t>
  </si>
  <si>
    <t>L00009</t>
  </si>
  <si>
    <t>C0181</t>
  </si>
  <si>
    <t>L00010</t>
  </si>
  <si>
    <t>C0040</t>
  </si>
  <si>
    <t>L00011</t>
  </si>
  <si>
    <t>C0003</t>
  </si>
  <si>
    <t>L00012</t>
  </si>
  <si>
    <t>C0116</t>
  </si>
  <si>
    <t>L00013</t>
  </si>
  <si>
    <t>C0179</t>
  </si>
  <si>
    <t>L00014</t>
  </si>
  <si>
    <t>C0073</t>
  </si>
  <si>
    <t>L00015</t>
  </si>
  <si>
    <t>C0150</t>
  </si>
  <si>
    <t>L00016</t>
  </si>
  <si>
    <t>C0051</t>
  </si>
  <si>
    <t>L00017</t>
  </si>
  <si>
    <t>C0029</t>
  </si>
  <si>
    <t>L00018</t>
  </si>
  <si>
    <t>C0157</t>
  </si>
  <si>
    <t>L00019</t>
  </si>
  <si>
    <t>C0167</t>
  </si>
  <si>
    <t>L00020</t>
  </si>
  <si>
    <t>C0049</t>
  </si>
  <si>
    <t>L00021</t>
  </si>
  <si>
    <t>C0128</t>
  </si>
  <si>
    <t>L00022</t>
  </si>
  <si>
    <t>C0063</t>
  </si>
  <si>
    <t>L00023</t>
  </si>
  <si>
    <t>C0124</t>
  </si>
  <si>
    <t>L00024</t>
  </si>
  <si>
    <t>C0120</t>
  </si>
  <si>
    <t>L00025</t>
  </si>
  <si>
    <t>C0107</t>
  </si>
  <si>
    <t>L00026</t>
  </si>
  <si>
    <t>L00027</t>
  </si>
  <si>
    <t>C0197</t>
  </si>
  <si>
    <t>L00028</t>
  </si>
  <si>
    <t>C0106</t>
  </si>
  <si>
    <t>L00029</t>
  </si>
  <si>
    <t>C0169</t>
  </si>
  <si>
    <t>L00030</t>
  </si>
  <si>
    <t>C0163</t>
  </si>
  <si>
    <t>L00031</t>
  </si>
  <si>
    <t>C0093</t>
  </si>
  <si>
    <t>L00032</t>
  </si>
  <si>
    <t>C0123</t>
  </si>
  <si>
    <t>L00033</t>
  </si>
  <si>
    <t>C0096</t>
  </si>
  <si>
    <t>L00034</t>
  </si>
  <si>
    <t>L00035</t>
  </si>
  <si>
    <t>C0144</t>
  </si>
  <si>
    <t>L00036</t>
  </si>
  <si>
    <t>C0097</t>
  </si>
  <si>
    <t>L00037</t>
  </si>
  <si>
    <t>C0070</t>
  </si>
  <si>
    <t>L00038</t>
  </si>
  <si>
    <t>C0011</t>
  </si>
  <si>
    <t>L00039</t>
  </si>
  <si>
    <t>C0025</t>
  </si>
  <si>
    <t>L00040</t>
  </si>
  <si>
    <t>L00041</t>
  </si>
  <si>
    <t>L00042</t>
  </si>
  <si>
    <t>C0041</t>
  </si>
  <si>
    <t>L00043</t>
  </si>
  <si>
    <t>C0064</t>
  </si>
  <si>
    <t>L00044</t>
  </si>
  <si>
    <t>C0059</t>
  </si>
  <si>
    <t>L00045</t>
  </si>
  <si>
    <t>C0012</t>
  </si>
  <si>
    <t>L00046</t>
  </si>
  <si>
    <t>L00047</t>
  </si>
  <si>
    <t>C0187</t>
  </si>
  <si>
    <t>L00048</t>
  </si>
  <si>
    <t>C0153</t>
  </si>
  <si>
    <t>L00049</t>
  </si>
  <si>
    <t>L00050</t>
  </si>
  <si>
    <t>C0192</t>
  </si>
  <si>
    <t>L00051</t>
  </si>
  <si>
    <t>C0113</t>
  </si>
  <si>
    <t>L00052</t>
  </si>
  <si>
    <t>C0071</t>
  </si>
  <si>
    <t>L00053</t>
  </si>
  <si>
    <t>C0083</t>
  </si>
  <si>
    <t>L00054</t>
  </si>
  <si>
    <t>C0146</t>
  </si>
  <si>
    <t>L00055</t>
  </si>
  <si>
    <t>C0052</t>
  </si>
  <si>
    <t>L00056</t>
  </si>
  <si>
    <t>C0141</t>
  </si>
  <si>
    <t>L00057</t>
  </si>
  <si>
    <t>C0195</t>
  </si>
  <si>
    <t>L00058</t>
  </si>
  <si>
    <t>C0125</t>
  </si>
  <si>
    <t>L00059</t>
  </si>
  <si>
    <t>C0134</t>
  </si>
  <si>
    <t>L00060</t>
  </si>
  <si>
    <t>L00061</t>
  </si>
  <si>
    <t>L00062</t>
  </si>
  <si>
    <t>C0130</t>
  </si>
  <si>
    <t>L00063</t>
  </si>
  <si>
    <t>C0027</t>
  </si>
  <si>
    <t>L00064</t>
  </si>
  <si>
    <t>L00065</t>
  </si>
  <si>
    <t>C0145</t>
  </si>
  <si>
    <t>L00066</t>
  </si>
  <si>
    <t>C0036</t>
  </si>
  <si>
    <t>L00067</t>
  </si>
  <si>
    <t>C0019</t>
  </si>
  <si>
    <t>L00068</t>
  </si>
  <si>
    <t>C0111</t>
  </si>
  <si>
    <t>L00069</t>
  </si>
  <si>
    <t>C0067</t>
  </si>
  <si>
    <t>L00070</t>
  </si>
  <si>
    <t>C0045</t>
  </si>
  <si>
    <t>L00071</t>
  </si>
  <si>
    <t>L00072</t>
  </si>
  <si>
    <t>C0020</t>
  </si>
  <si>
    <t>L00073</t>
  </si>
  <si>
    <t>C0030</t>
  </si>
  <si>
    <t>L00074</t>
  </si>
  <si>
    <t>C0165</t>
  </si>
  <si>
    <t>L00075</t>
  </si>
  <si>
    <t>L00076</t>
  </si>
  <si>
    <t>L00077</t>
  </si>
  <si>
    <t>C0058</t>
  </si>
  <si>
    <t>L00078</t>
  </si>
  <si>
    <t>C0032</t>
  </si>
  <si>
    <t>L00079</t>
  </si>
  <si>
    <t>C0155</t>
  </si>
  <si>
    <t>L00080</t>
  </si>
  <si>
    <t>L00081</t>
  </si>
  <si>
    <t>L00082</t>
  </si>
  <si>
    <t>L00083</t>
  </si>
  <si>
    <t>L00084</t>
  </si>
  <si>
    <t>L00085</t>
  </si>
  <si>
    <t>C0047</t>
  </si>
  <si>
    <t>L00086</t>
  </si>
  <si>
    <t>C0129</t>
  </si>
  <si>
    <t>L00087</t>
  </si>
  <si>
    <t>C0198</t>
  </si>
  <si>
    <t>L00088</t>
  </si>
  <si>
    <t>C0080</t>
  </si>
  <si>
    <t>L00089</t>
  </si>
  <si>
    <t>L00090</t>
  </si>
  <si>
    <t>C0056</t>
  </si>
  <si>
    <t>L00091</t>
  </si>
  <si>
    <t>L00092</t>
  </si>
  <si>
    <t>C0015</t>
  </si>
  <si>
    <t>L00093</t>
  </si>
  <si>
    <t>C0118</t>
  </si>
  <si>
    <t>L00094</t>
  </si>
  <si>
    <t>L00095</t>
  </si>
  <si>
    <t>L00096</t>
  </si>
  <si>
    <t>C0112</t>
  </si>
  <si>
    <t>L00097</t>
  </si>
  <si>
    <t>C0108</t>
  </si>
  <si>
    <t>L00098</t>
  </si>
  <si>
    <t>C0160</t>
  </si>
  <si>
    <t>L00099</t>
  </si>
  <si>
    <t>L00100</t>
  </si>
  <si>
    <t>C0196</t>
  </si>
  <si>
    <t>L00101</t>
  </si>
  <si>
    <t>L00102</t>
  </si>
  <si>
    <t>L00103</t>
  </si>
  <si>
    <t>C0035</t>
  </si>
  <si>
    <t>L00104</t>
  </si>
  <si>
    <t>C0014</t>
  </si>
  <si>
    <t>L00105</t>
  </si>
  <si>
    <t>L00106</t>
  </si>
  <si>
    <t>C0186</t>
  </si>
  <si>
    <t>L00107</t>
  </si>
  <si>
    <t>C0077</t>
  </si>
  <si>
    <t>L00108</t>
  </si>
  <si>
    <t>C0050</t>
  </si>
  <si>
    <t>L00109</t>
  </si>
  <si>
    <t>C0092</t>
  </si>
  <si>
    <t>L00110</t>
  </si>
  <si>
    <t>C0053</t>
  </si>
  <si>
    <t>L00111</t>
  </si>
  <si>
    <t>L00112</t>
  </si>
  <si>
    <t>L00113</t>
  </si>
  <si>
    <t>L00114</t>
  </si>
  <si>
    <t>L00115</t>
  </si>
  <si>
    <t>C0103</t>
  </si>
  <si>
    <t>L00116</t>
  </si>
  <si>
    <t>L00117</t>
  </si>
  <si>
    <t>C0002</t>
  </si>
  <si>
    <t>L00118</t>
  </si>
  <si>
    <t>C0137</t>
  </si>
  <si>
    <t>L00119</t>
  </si>
  <si>
    <t>L00120</t>
  </si>
  <si>
    <t>C0158</t>
  </si>
  <si>
    <t>L00121</t>
  </si>
  <si>
    <t>C0004</t>
  </si>
  <si>
    <t>L00122</t>
  </si>
  <si>
    <t>C0013</t>
  </si>
  <si>
    <t>L00123</t>
  </si>
  <si>
    <t>L00124</t>
  </si>
  <si>
    <t>L00125</t>
  </si>
  <si>
    <t>L00126</t>
  </si>
  <si>
    <t>C0095</t>
  </si>
  <si>
    <t>L00127</t>
  </si>
  <si>
    <t>L00128</t>
  </si>
  <si>
    <t>L00129</t>
  </si>
  <si>
    <t>C0164</t>
  </si>
  <si>
    <t>L00130</t>
  </si>
  <si>
    <t>C0101</t>
  </si>
  <si>
    <t>L00131</t>
  </si>
  <si>
    <t>C0088</t>
  </si>
  <si>
    <t>L00132</t>
  </si>
  <si>
    <t>L00133</t>
  </si>
  <si>
    <t>C0154</t>
  </si>
  <si>
    <t>L00134</t>
  </si>
  <si>
    <t>C0034</t>
  </si>
  <si>
    <t>L00135</t>
  </si>
  <si>
    <t>C0193</t>
  </si>
  <si>
    <t>L00136</t>
  </si>
  <si>
    <t>C0085</t>
  </si>
  <si>
    <t>L00137</t>
  </si>
  <si>
    <t>C0084</t>
  </si>
  <si>
    <t>L00138</t>
  </si>
  <si>
    <t>C0033</t>
  </si>
  <si>
    <t>L00139</t>
  </si>
  <si>
    <t>L00140</t>
  </si>
  <si>
    <t>C0065</t>
  </si>
  <si>
    <t>L00141</t>
  </si>
  <si>
    <t>C0139</t>
  </si>
  <si>
    <t>L00142</t>
  </si>
  <si>
    <t>C0054</t>
  </si>
  <si>
    <t>L00143</t>
  </si>
  <si>
    <t>L00144</t>
  </si>
  <si>
    <t>L00145</t>
  </si>
  <si>
    <t>L00146</t>
  </si>
  <si>
    <t>L00147</t>
  </si>
  <si>
    <t>L00148</t>
  </si>
  <si>
    <t>C0046</t>
  </si>
  <si>
    <t>L00149</t>
  </si>
  <si>
    <t>L00150</t>
  </si>
  <si>
    <t>L00151</t>
  </si>
  <si>
    <t>C0142</t>
  </si>
  <si>
    <t>L00152</t>
  </si>
  <si>
    <t>L00153</t>
  </si>
  <si>
    <t>L00154</t>
  </si>
  <si>
    <t>C0133</t>
  </si>
  <si>
    <t>L00155</t>
  </si>
  <si>
    <t>C0055</t>
  </si>
  <si>
    <t>L00156</t>
  </si>
  <si>
    <t>C0018</t>
  </si>
  <si>
    <t>L00157</t>
  </si>
  <si>
    <t>C0171</t>
  </si>
  <si>
    <t>L00158</t>
  </si>
  <si>
    <t>L00159</t>
  </si>
  <si>
    <t>C0075</t>
  </si>
  <si>
    <t>L00160</t>
  </si>
  <si>
    <t>L00161</t>
  </si>
  <si>
    <t>C0069</t>
  </si>
  <si>
    <t>L00162</t>
  </si>
  <si>
    <t>L00163</t>
  </si>
  <si>
    <t>L00164</t>
  </si>
  <si>
    <t>C0098</t>
  </si>
  <si>
    <t>L00165</t>
  </si>
  <si>
    <t>C0148</t>
  </si>
  <si>
    <t>L00166</t>
  </si>
  <si>
    <t>L00167</t>
  </si>
  <si>
    <t>L00168</t>
  </si>
  <si>
    <t>C0135</t>
  </si>
  <si>
    <t>L00169</t>
  </si>
  <si>
    <t>L00170</t>
  </si>
  <si>
    <t>L00171</t>
  </si>
  <si>
    <t>C0191</t>
  </si>
  <si>
    <t>L00172</t>
  </si>
  <si>
    <t>L00173</t>
  </si>
  <si>
    <t>L00174</t>
  </si>
  <si>
    <t>L00175</t>
  </si>
  <si>
    <t>C0074</t>
  </si>
  <si>
    <t>L00176</t>
  </si>
  <si>
    <t>C0091</t>
  </si>
  <si>
    <t>L00177</t>
  </si>
  <si>
    <t>L00178</t>
  </si>
  <si>
    <t>C0022</t>
  </si>
  <si>
    <t>L00179</t>
  </si>
  <si>
    <t>C0177</t>
  </si>
  <si>
    <t>L00180</t>
  </si>
  <si>
    <t>L00181</t>
  </si>
  <si>
    <t>C0043</t>
  </si>
  <si>
    <t>L00182</t>
  </si>
  <si>
    <t>L00183</t>
  </si>
  <si>
    <t>C0082</t>
  </si>
  <si>
    <t>L00184</t>
  </si>
  <si>
    <t>C0172</t>
  </si>
  <si>
    <t>L00185</t>
  </si>
  <si>
    <t>C0136</t>
  </si>
  <si>
    <t>L00186</t>
  </si>
  <si>
    <t>L00187</t>
  </si>
  <si>
    <t>L00188</t>
  </si>
  <si>
    <t>L00189</t>
  </si>
  <si>
    <t>L00190</t>
  </si>
  <si>
    <t>C0028</t>
  </si>
  <si>
    <t>L00191</t>
  </si>
  <si>
    <t>L00192</t>
  </si>
  <si>
    <t>L00193</t>
  </si>
  <si>
    <t>C0159</t>
  </si>
  <si>
    <t>L00194</t>
  </si>
  <si>
    <t>L00195</t>
  </si>
  <si>
    <t>C0132</t>
  </si>
  <si>
    <t>L00196</t>
  </si>
  <si>
    <t>L00197</t>
  </si>
  <si>
    <t>L00198</t>
  </si>
  <si>
    <t>C0194</t>
  </si>
  <si>
    <t>L00199</t>
  </si>
  <si>
    <t>L00200</t>
  </si>
  <si>
    <t>L00201</t>
  </si>
  <si>
    <t>C0081</t>
  </si>
  <si>
    <t>L00202</t>
  </si>
  <si>
    <t>C0131</t>
  </si>
  <si>
    <t>L00203</t>
  </si>
  <si>
    <t>L00204</t>
  </si>
  <si>
    <t>L00205</t>
  </si>
  <si>
    <t>L00206</t>
  </si>
  <si>
    <t>L00207</t>
  </si>
  <si>
    <t>L00208</t>
  </si>
  <si>
    <t>C0010</t>
  </si>
  <si>
    <t>L00209</t>
  </si>
  <si>
    <t>L00210</t>
  </si>
  <si>
    <t>C0121</t>
  </si>
  <si>
    <t>L00211</t>
  </si>
  <si>
    <t>L00212</t>
  </si>
  <si>
    <t>L00213</t>
  </si>
  <si>
    <t>L00214</t>
  </si>
  <si>
    <t>C0031</t>
  </si>
  <si>
    <t>L00215</t>
  </si>
  <si>
    <t>L00216</t>
  </si>
  <si>
    <t>L00217</t>
  </si>
  <si>
    <t>L00218</t>
  </si>
  <si>
    <t>L00219</t>
  </si>
  <si>
    <t>C0016</t>
  </si>
  <si>
    <t>L00220</t>
  </si>
  <si>
    <t>L00221</t>
  </si>
  <si>
    <t>L00222</t>
  </si>
  <si>
    <t>C0149</t>
  </si>
  <si>
    <t>L00223</t>
  </si>
  <si>
    <t>L00224</t>
  </si>
  <si>
    <t>L00225</t>
  </si>
  <si>
    <t>C0185</t>
  </si>
  <si>
    <t>L00226</t>
  </si>
  <si>
    <t>L00227</t>
  </si>
  <si>
    <t>C0200</t>
  </si>
  <si>
    <t>L00228</t>
  </si>
  <si>
    <t>C0178</t>
  </si>
  <si>
    <t>L00229</t>
  </si>
  <si>
    <t>C0099</t>
  </si>
  <si>
    <t>L00230</t>
  </si>
  <si>
    <t>C0009</t>
  </si>
  <si>
    <t>L00231</t>
  </si>
  <si>
    <t>L00232</t>
  </si>
  <si>
    <t>C0086</t>
  </si>
  <si>
    <t>L00233</t>
  </si>
  <si>
    <t>L00234</t>
  </si>
  <si>
    <t>C0115</t>
  </si>
  <si>
    <t>L00235</t>
  </si>
  <si>
    <t>L00236</t>
  </si>
  <si>
    <t>L00237</t>
  </si>
  <si>
    <t>C0066</t>
  </si>
  <si>
    <t>L00238</t>
  </si>
  <si>
    <t>C0068</t>
  </si>
  <si>
    <t>L00239</t>
  </si>
  <si>
    <t>L00240</t>
  </si>
  <si>
    <t>C0042</t>
  </si>
  <si>
    <t>L00241</t>
  </si>
  <si>
    <t>L00242</t>
  </si>
  <si>
    <t>L00243</t>
  </si>
  <si>
    <t>C0122</t>
  </si>
  <si>
    <t>L00244</t>
  </si>
  <si>
    <t>L00245</t>
  </si>
  <si>
    <t>L00246</t>
  </si>
  <si>
    <t>C0147</t>
  </si>
  <si>
    <t>L00247</t>
  </si>
  <si>
    <t>L00248</t>
  </si>
  <si>
    <t>L00249</t>
  </si>
  <si>
    <t>L00250</t>
  </si>
  <si>
    <t>L00251</t>
  </si>
  <si>
    <t>C0024</t>
  </si>
  <si>
    <t>L00252</t>
  </si>
  <si>
    <t>C0162</t>
  </si>
  <si>
    <t>L00253</t>
  </si>
  <si>
    <t>L00254</t>
  </si>
  <si>
    <t>L00255</t>
  </si>
  <si>
    <t>L00256</t>
  </si>
  <si>
    <t>L00257</t>
  </si>
  <si>
    <t>C0001</t>
  </si>
  <si>
    <t>L00258</t>
  </si>
  <si>
    <t>L00259</t>
  </si>
  <si>
    <t>L00260</t>
  </si>
  <si>
    <t>C0090</t>
  </si>
  <si>
    <t>L00261</t>
  </si>
  <si>
    <t>C0119</t>
  </si>
  <si>
    <t>L00262</t>
  </si>
  <si>
    <t>C0100</t>
  </si>
  <si>
    <t>L00263</t>
  </si>
  <si>
    <t>L00264</t>
  </si>
  <si>
    <t>L00265</t>
  </si>
  <si>
    <t>L00266</t>
  </si>
  <si>
    <t>L00267</t>
  </si>
  <si>
    <t>L00268</t>
  </si>
  <si>
    <t>L00269</t>
  </si>
  <si>
    <t>L00270</t>
  </si>
  <si>
    <t>L00271</t>
  </si>
  <si>
    <t>L00272</t>
  </si>
  <si>
    <t>L00273</t>
  </si>
  <si>
    <t>L00274</t>
  </si>
  <si>
    <t>C0138</t>
  </si>
  <si>
    <t>L00275</t>
  </si>
  <si>
    <t>L00276</t>
  </si>
  <si>
    <t>L00277</t>
  </si>
  <si>
    <t>C0079</t>
  </si>
  <si>
    <t>L00278</t>
  </si>
  <si>
    <t>L00279</t>
  </si>
  <si>
    <t>L00280</t>
  </si>
  <si>
    <t>L00281</t>
  </si>
  <si>
    <t>C0168</t>
  </si>
  <si>
    <t>L00282</t>
  </si>
  <si>
    <t>C0170</t>
  </si>
  <si>
    <t>L00283</t>
  </si>
  <si>
    <t>C0184</t>
  </si>
  <si>
    <t>L00284</t>
  </si>
  <si>
    <t>L00285</t>
  </si>
  <si>
    <t>L00286</t>
  </si>
  <si>
    <t>L00287</t>
  </si>
  <si>
    <t>C0161</t>
  </si>
  <si>
    <t>L00288</t>
  </si>
  <si>
    <t>L00289</t>
  </si>
  <si>
    <t>C0044</t>
  </si>
  <si>
    <t>L00290</t>
  </si>
  <si>
    <t>C0007</t>
  </si>
  <si>
    <t>L00291</t>
  </si>
  <si>
    <t>C0005</t>
  </si>
  <si>
    <t>L00292</t>
  </si>
  <si>
    <t>L00293</t>
  </si>
  <si>
    <t>L00294</t>
  </si>
  <si>
    <t>L00295</t>
  </si>
  <si>
    <t>L00296</t>
  </si>
  <si>
    <t>L00297</t>
  </si>
  <si>
    <t>C0078</t>
  </si>
  <si>
    <t>L00298</t>
  </si>
  <si>
    <t>L00299</t>
  </si>
  <si>
    <t>C0126</t>
  </si>
  <si>
    <t>L00300</t>
  </si>
  <si>
    <t>L00301</t>
  </si>
  <si>
    <t>L00302</t>
  </si>
  <si>
    <t>L00303</t>
  </si>
  <si>
    <t>L00304</t>
  </si>
  <si>
    <t>L00305</t>
  </si>
  <si>
    <t>L00306</t>
  </si>
  <si>
    <t>L00307</t>
  </si>
  <si>
    <t>L00308</t>
  </si>
  <si>
    <t>L00309</t>
  </si>
  <si>
    <t>L00310</t>
  </si>
  <si>
    <t>L00311</t>
  </si>
  <si>
    <t>L00312</t>
  </si>
  <si>
    <t>C0102</t>
  </si>
  <si>
    <t>L00313</t>
  </si>
  <si>
    <t>C0039</t>
  </si>
  <si>
    <t>L00314</t>
  </si>
  <si>
    <t>L00315</t>
  </si>
  <si>
    <t>C0008</t>
  </si>
  <si>
    <t>L00316</t>
  </si>
  <si>
    <t>L00317</t>
  </si>
  <si>
    <t>L00318</t>
  </si>
  <si>
    <t>L00319</t>
  </si>
  <si>
    <t>L00320</t>
  </si>
  <si>
    <t>C0188</t>
  </si>
  <si>
    <t>L00321</t>
  </si>
  <si>
    <t>L00322</t>
  </si>
  <si>
    <t>L00323</t>
  </si>
  <si>
    <t>L00324</t>
  </si>
  <si>
    <t>L00325</t>
  </si>
  <si>
    <t>C0175</t>
  </si>
  <si>
    <t>L00326</t>
  </si>
  <si>
    <t>L00327</t>
  </si>
  <si>
    <t>L00328</t>
  </si>
  <si>
    <t>L00329</t>
  </si>
  <si>
    <t>L00330</t>
  </si>
  <si>
    <t>L00331</t>
  </si>
  <si>
    <t>L00332</t>
  </si>
  <si>
    <t>C0143</t>
  </si>
  <si>
    <t>L00333</t>
  </si>
  <si>
    <t>L00334</t>
  </si>
  <si>
    <t>L00335</t>
  </si>
  <si>
    <t>L00336</t>
  </si>
  <si>
    <t>L00337</t>
  </si>
  <si>
    <t>L00338</t>
  </si>
  <si>
    <t>L00339</t>
  </si>
  <si>
    <t>L00340</t>
  </si>
  <si>
    <t>L00341</t>
  </si>
  <si>
    <t>L00342</t>
  </si>
  <si>
    <t>L00343</t>
  </si>
  <si>
    <t>L00344</t>
  </si>
  <si>
    <t>C0072</t>
  </si>
  <si>
    <t>L00345</t>
  </si>
  <si>
    <t>C0038</t>
  </si>
  <si>
    <t>L00346</t>
  </si>
  <si>
    <t>C0199</t>
  </si>
  <si>
    <t>L00347</t>
  </si>
  <si>
    <t>L00348</t>
  </si>
  <si>
    <t>L00349</t>
  </si>
  <si>
    <t>L00350</t>
  </si>
  <si>
    <t>L00351</t>
  </si>
  <si>
    <t>L00352</t>
  </si>
  <si>
    <t>L00353</t>
  </si>
  <si>
    <t>L00354</t>
  </si>
  <si>
    <t>L00355</t>
  </si>
  <si>
    <t>L00356</t>
  </si>
  <si>
    <t>L00357</t>
  </si>
  <si>
    <t>L00358</t>
  </si>
  <si>
    <t>L00359</t>
  </si>
  <si>
    <t>L00360</t>
  </si>
  <si>
    <t>L00361</t>
  </si>
  <si>
    <t>C0151</t>
  </si>
  <si>
    <t>L00362</t>
  </si>
  <si>
    <t>L00363</t>
  </si>
  <si>
    <t>L00364</t>
  </si>
  <si>
    <t>L00365</t>
  </si>
  <si>
    <t>C0060</t>
  </si>
  <si>
    <t>L00366</t>
  </si>
  <si>
    <t>L00367</t>
  </si>
  <si>
    <t>C0127</t>
  </si>
  <si>
    <t>L00368</t>
  </si>
  <si>
    <t>L00369</t>
  </si>
  <si>
    <t>L00370</t>
  </si>
  <si>
    <t>L00371</t>
  </si>
  <si>
    <t>L00372</t>
  </si>
  <si>
    <t>L00373</t>
  </si>
  <si>
    <t>L00374</t>
  </si>
  <si>
    <t>C0156</t>
  </si>
  <si>
    <t>L00375</t>
  </si>
  <si>
    <t>L00376</t>
  </si>
  <si>
    <t>C0057</t>
  </si>
  <si>
    <t>L00377</t>
  </si>
  <si>
    <t>L00378</t>
  </si>
  <si>
    <t>L00379</t>
  </si>
  <si>
    <t>L00380</t>
  </si>
  <si>
    <t>C0023</t>
  </si>
  <si>
    <t>L00381</t>
  </si>
  <si>
    <t>L00382</t>
  </si>
  <si>
    <t>L00383</t>
  </si>
  <si>
    <t>L00384</t>
  </si>
  <si>
    <t>C0109</t>
  </si>
  <si>
    <t>L00385</t>
  </si>
  <si>
    <t>L00386</t>
  </si>
  <si>
    <t>L00387</t>
  </si>
  <si>
    <t>L00388</t>
  </si>
  <si>
    <t>L00389</t>
  </si>
  <si>
    <t>C0026</t>
  </si>
  <si>
    <t>L00390</t>
  </si>
  <si>
    <t>L00391</t>
  </si>
  <si>
    <t>L00392</t>
  </si>
  <si>
    <t>C0152</t>
  </si>
  <si>
    <t>L00393</t>
  </si>
  <si>
    <t>L00394</t>
  </si>
  <si>
    <t>L00395</t>
  </si>
  <si>
    <t>L00396</t>
  </si>
  <si>
    <t>L00397</t>
  </si>
  <si>
    <t>L00398</t>
  </si>
  <si>
    <t>C0140</t>
  </si>
  <si>
    <t>L00399</t>
  </si>
  <si>
    <t>L00400</t>
  </si>
  <si>
    <t>C0021</t>
  </si>
  <si>
    <t>L00401</t>
  </si>
  <si>
    <t>L00402</t>
  </si>
  <si>
    <t>L00403</t>
  </si>
  <si>
    <t>L00404</t>
  </si>
  <si>
    <t>L00405</t>
  </si>
  <si>
    <t>L00406</t>
  </si>
  <si>
    <t>L00407</t>
  </si>
  <si>
    <t>L00408</t>
  </si>
  <si>
    <t>L00409</t>
  </si>
  <si>
    <t>L00410</t>
  </si>
  <si>
    <t>C0117</t>
  </si>
  <si>
    <t>L00411</t>
  </si>
  <si>
    <t>L00412</t>
  </si>
  <si>
    <t>L00413</t>
  </si>
  <si>
    <t>L00414</t>
  </si>
  <si>
    <t>C0048</t>
  </si>
  <si>
    <t>L00415</t>
  </si>
  <si>
    <t>L00416</t>
  </si>
  <si>
    <t>C0114</t>
  </si>
  <si>
    <t>L00417</t>
  </si>
  <si>
    <t>L00418</t>
  </si>
  <si>
    <t>L00419</t>
  </si>
  <si>
    <t>L00420</t>
  </si>
  <si>
    <t>L00421</t>
  </si>
  <si>
    <t>L00422</t>
  </si>
  <si>
    <t>L00423</t>
  </si>
  <si>
    <t>L00424</t>
  </si>
  <si>
    <t>L00425</t>
  </si>
  <si>
    <t>L00426</t>
  </si>
  <si>
    <t>L00427</t>
  </si>
  <si>
    <t>L00428</t>
  </si>
  <si>
    <t>L00429</t>
  </si>
  <si>
    <t>L00430</t>
  </si>
  <si>
    <t>L00431</t>
  </si>
  <si>
    <t>L00432</t>
  </si>
  <si>
    <t>L00433</t>
  </si>
  <si>
    <t>L00434</t>
  </si>
  <si>
    <t>L00435</t>
  </si>
  <si>
    <t>L00436</t>
  </si>
  <si>
    <t>L00437</t>
  </si>
  <si>
    <t>L00438</t>
  </si>
  <si>
    <t>L00439</t>
  </si>
  <si>
    <t>L00440</t>
  </si>
  <si>
    <t>L00441</t>
  </si>
  <si>
    <t>L00442</t>
  </si>
  <si>
    <t>L00443</t>
  </si>
  <si>
    <t>L00444</t>
  </si>
  <si>
    <t>L00445</t>
  </si>
  <si>
    <t>L00446</t>
  </si>
  <si>
    <t>L00447</t>
  </si>
  <si>
    <t>L00448</t>
  </si>
  <si>
    <t>L00449</t>
  </si>
  <si>
    <t>L00450</t>
  </si>
  <si>
    <t>C0061</t>
  </si>
  <si>
    <t>L00451</t>
  </si>
  <si>
    <t>L00452</t>
  </si>
  <si>
    <t>L00453</t>
  </si>
  <si>
    <t>L00454</t>
  </si>
  <si>
    <t>L00455</t>
  </si>
  <si>
    <t>L00456</t>
  </si>
  <si>
    <t>L00457</t>
  </si>
  <si>
    <t>L00458</t>
  </si>
  <si>
    <t>L00459</t>
  </si>
  <si>
    <t>L00460</t>
  </si>
  <si>
    <t>L00461</t>
  </si>
  <si>
    <t>L00462</t>
  </si>
  <si>
    <t>L00463</t>
  </si>
  <si>
    <t>L00464</t>
  </si>
  <si>
    <t>L00465</t>
  </si>
  <si>
    <t>L00466</t>
  </si>
  <si>
    <t>L00467</t>
  </si>
  <si>
    <t>L00468</t>
  </si>
  <si>
    <t>L00469</t>
  </si>
  <si>
    <t>L00470</t>
  </si>
  <si>
    <t>L00471</t>
  </si>
  <si>
    <t>L00472</t>
  </si>
  <si>
    <t>L00473</t>
  </si>
  <si>
    <t>L00474</t>
  </si>
  <si>
    <t>L00475</t>
  </si>
  <si>
    <t>L00476</t>
  </si>
  <si>
    <t>L00477</t>
  </si>
  <si>
    <t>L00478</t>
  </si>
  <si>
    <t>L00479</t>
  </si>
  <si>
    <t>L00480</t>
  </si>
  <si>
    <t>L00481</t>
  </si>
  <si>
    <t>L00482</t>
  </si>
  <si>
    <t>L00483</t>
  </si>
  <si>
    <t>L00484</t>
  </si>
  <si>
    <t>C0173</t>
  </si>
  <si>
    <t>L00485</t>
  </si>
  <si>
    <t>L00486</t>
  </si>
  <si>
    <t>C0190</t>
  </si>
  <si>
    <t>L00487</t>
  </si>
  <si>
    <t>L00488</t>
  </si>
  <si>
    <t>L00489</t>
  </si>
  <si>
    <t>L00490</t>
  </si>
  <si>
    <t>L00491</t>
  </si>
  <si>
    <t>L00492</t>
  </si>
  <si>
    <t>L00493</t>
  </si>
  <si>
    <t>L00494</t>
  </si>
  <si>
    <t>L00495</t>
  </si>
  <si>
    <t>L00496</t>
  </si>
  <si>
    <t>L00497</t>
  </si>
  <si>
    <t>L00498</t>
  </si>
  <si>
    <t>L00499</t>
  </si>
  <si>
    <t>L00500</t>
  </si>
  <si>
    <t>CustomerName</t>
  </si>
  <si>
    <t>City</t>
  </si>
  <si>
    <t>EmploymentType</t>
  </si>
  <si>
    <t>SalaryBand</t>
  </si>
  <si>
    <t>Customer 1</t>
  </si>
  <si>
    <t>Delhi</t>
  </si>
  <si>
    <t>Self-Employed</t>
  </si>
  <si>
    <t>High</t>
  </si>
  <si>
    <t>Customer 2</t>
  </si>
  <si>
    <t>Salaried</t>
  </si>
  <si>
    <t>Customer 3</t>
  </si>
  <si>
    <t>Pune</t>
  </si>
  <si>
    <t>Low</t>
  </si>
  <si>
    <t>Customer 4</t>
  </si>
  <si>
    <t>Chennai</t>
  </si>
  <si>
    <t>Customer 5</t>
  </si>
  <si>
    <t>Bangalore</t>
  </si>
  <si>
    <t>Customer 6</t>
  </si>
  <si>
    <t>Medium</t>
  </si>
  <si>
    <t>Customer 7</t>
  </si>
  <si>
    <t>Customer 8</t>
  </si>
  <si>
    <t>Customer 9</t>
  </si>
  <si>
    <t>Customer 10</t>
  </si>
  <si>
    <t>Business Owner</t>
  </si>
  <si>
    <t>Customer 11</t>
  </si>
  <si>
    <t>Customer 12</t>
  </si>
  <si>
    <t>Customer 13</t>
  </si>
  <si>
    <t>Customer 14</t>
  </si>
  <si>
    <t>Mumbai</t>
  </si>
  <si>
    <t>Customer 15</t>
  </si>
  <si>
    <t>Customer 16</t>
  </si>
  <si>
    <t>C0017</t>
  </si>
  <si>
    <t>Customer 17</t>
  </si>
  <si>
    <t>Customer 18</t>
  </si>
  <si>
    <t>Customer 19</t>
  </si>
  <si>
    <t>Customer 20</t>
  </si>
  <si>
    <t>Customer 21</t>
  </si>
  <si>
    <t>Customer 22</t>
  </si>
  <si>
    <t>Customer 23</t>
  </si>
  <si>
    <t>Customer 24</t>
  </si>
  <si>
    <t>Customer 25</t>
  </si>
  <si>
    <t>Customer 26</t>
  </si>
  <si>
    <t>Customer 27</t>
  </si>
  <si>
    <t>Customer 28</t>
  </si>
  <si>
    <t>Customer 29</t>
  </si>
  <si>
    <t>Customer 30</t>
  </si>
  <si>
    <t>Customer 31</t>
  </si>
  <si>
    <t>Customer 32</t>
  </si>
  <si>
    <t>Customer 33</t>
  </si>
  <si>
    <t>Customer 34</t>
  </si>
  <si>
    <t>Customer 35</t>
  </si>
  <si>
    <t>Customer 36</t>
  </si>
  <si>
    <t>C0037</t>
  </si>
  <si>
    <t>Customer 37</t>
  </si>
  <si>
    <t>Customer 38</t>
  </si>
  <si>
    <t>Customer 39</t>
  </si>
  <si>
    <t>Hyderabad</t>
  </si>
  <si>
    <t>Customer 40</t>
  </si>
  <si>
    <t>Customer 41</t>
  </si>
  <si>
    <t>Customer 42</t>
  </si>
  <si>
    <t>Customer 43</t>
  </si>
  <si>
    <t>Customer 44</t>
  </si>
  <si>
    <t>Customer 45</t>
  </si>
  <si>
    <t>Customer 46</t>
  </si>
  <si>
    <t>Customer 47</t>
  </si>
  <si>
    <t>Customer 48</t>
  </si>
  <si>
    <t>Customer 49</t>
  </si>
  <si>
    <t>Customer 50</t>
  </si>
  <si>
    <t>Customer 51</t>
  </si>
  <si>
    <t>Customer 52</t>
  </si>
  <si>
    <t>Customer 53</t>
  </si>
  <si>
    <t>Customer 54</t>
  </si>
  <si>
    <t>Customer 55</t>
  </si>
  <si>
    <t>Customer 56</t>
  </si>
  <si>
    <t>Customer 57</t>
  </si>
  <si>
    <t>Customer 58</t>
  </si>
  <si>
    <t>Customer 59</t>
  </si>
  <si>
    <t>Customer 60</t>
  </si>
  <si>
    <t>Customer 61</t>
  </si>
  <si>
    <t>C0062</t>
  </si>
  <si>
    <t>Customer 62</t>
  </si>
  <si>
    <t>Customer 63</t>
  </si>
  <si>
    <t>Customer 64</t>
  </si>
  <si>
    <t>Customer 65</t>
  </si>
  <si>
    <t>Customer 66</t>
  </si>
  <si>
    <t>Customer 67</t>
  </si>
  <si>
    <t>Customer 68</t>
  </si>
  <si>
    <t>Customer 69</t>
  </si>
  <si>
    <t>Customer 70</t>
  </si>
  <si>
    <t>Customer 71</t>
  </si>
  <si>
    <t>Customer 72</t>
  </si>
  <si>
    <t>Customer 73</t>
  </si>
  <si>
    <t>Customer 74</t>
  </si>
  <si>
    <t>Customer 75</t>
  </si>
  <si>
    <t>C0076</t>
  </si>
  <si>
    <t>Customer 76</t>
  </si>
  <si>
    <t>Customer 77</t>
  </si>
  <si>
    <t>Customer 78</t>
  </si>
  <si>
    <t>Customer 79</t>
  </si>
  <si>
    <t>Customer 80</t>
  </si>
  <si>
    <t>Customer 81</t>
  </si>
  <si>
    <t>Customer 82</t>
  </si>
  <si>
    <t>Customer 83</t>
  </si>
  <si>
    <t>Customer 84</t>
  </si>
  <si>
    <t>Customer 85</t>
  </si>
  <si>
    <t>Customer 86</t>
  </si>
  <si>
    <t>C0087</t>
  </si>
  <si>
    <t>Customer 87</t>
  </si>
  <si>
    <t>Customer 88</t>
  </si>
  <si>
    <t>Customer 89</t>
  </si>
  <si>
    <t>Customer 90</t>
  </si>
  <si>
    <t>Customer 91</t>
  </si>
  <si>
    <t>Customer 92</t>
  </si>
  <si>
    <t>Customer 93</t>
  </si>
  <si>
    <t>Customer 94</t>
  </si>
  <si>
    <t>Customer 95</t>
  </si>
  <si>
    <t>Customer 96</t>
  </si>
  <si>
    <t>Customer 97</t>
  </si>
  <si>
    <t>Customer 98</t>
  </si>
  <si>
    <t>Customer 99</t>
  </si>
  <si>
    <t>Customer 100</t>
  </si>
  <si>
    <t>Customer 101</t>
  </si>
  <si>
    <t>Customer 102</t>
  </si>
  <si>
    <t>Customer 103</t>
  </si>
  <si>
    <t>Customer 104</t>
  </si>
  <si>
    <t>C0105</t>
  </si>
  <si>
    <t>Customer 105</t>
  </si>
  <si>
    <t>Customer 106</t>
  </si>
  <si>
    <t>Customer 107</t>
  </si>
  <si>
    <t>Customer 108</t>
  </si>
  <si>
    <t>Customer 109</t>
  </si>
  <si>
    <t>C0110</t>
  </si>
  <si>
    <t>Customer 110</t>
  </si>
  <si>
    <t>Customer 111</t>
  </si>
  <si>
    <t>Customer 112</t>
  </si>
  <si>
    <t>Customer 113</t>
  </si>
  <si>
    <t>Customer 114</t>
  </si>
  <si>
    <t>Customer 115</t>
  </si>
  <si>
    <t>Customer 116</t>
  </si>
  <si>
    <t>Customer 117</t>
  </si>
  <si>
    <t>Customer 118</t>
  </si>
  <si>
    <t>Customer 119</t>
  </si>
  <si>
    <t>Customer 120</t>
  </si>
  <si>
    <t>Customer 121</t>
  </si>
  <si>
    <t>Customer 122</t>
  </si>
  <si>
    <t>Customer 123</t>
  </si>
  <si>
    <t>Customer 124</t>
  </si>
  <si>
    <t>Customer 125</t>
  </si>
  <si>
    <t>Customer 126</t>
  </si>
  <si>
    <t>Customer 127</t>
  </si>
  <si>
    <t>Customer 128</t>
  </si>
  <si>
    <t>Customer 129</t>
  </si>
  <si>
    <t>Customer 130</t>
  </si>
  <si>
    <t>Customer 131</t>
  </si>
  <si>
    <t>Customer 132</t>
  </si>
  <si>
    <t>Customer 133</t>
  </si>
  <si>
    <t>Customer 134</t>
  </si>
  <si>
    <t>Customer 135</t>
  </si>
  <si>
    <t>Customer 136</t>
  </si>
  <si>
    <t>Customer 137</t>
  </si>
  <si>
    <t>Customer 138</t>
  </si>
  <si>
    <t>Customer 139</t>
  </si>
  <si>
    <t>Customer 140</t>
  </si>
  <si>
    <t>Customer 141</t>
  </si>
  <si>
    <t>Customer 142</t>
  </si>
  <si>
    <t>Customer 143</t>
  </si>
  <si>
    <t>Customer 144</t>
  </si>
  <si>
    <t>Customer 145</t>
  </si>
  <si>
    <t>Customer 146</t>
  </si>
  <si>
    <t>Customer 147</t>
  </si>
  <si>
    <t>Customer 148</t>
  </si>
  <si>
    <t>Customer 149</t>
  </si>
  <si>
    <t>Customer 150</t>
  </si>
  <si>
    <t>Customer 151</t>
  </si>
  <si>
    <t>Customer 152</t>
  </si>
  <si>
    <t>Customer 153</t>
  </si>
  <si>
    <t>Customer 154</t>
  </si>
  <si>
    <t>Customer 155</t>
  </si>
  <si>
    <t>Customer 156</t>
  </si>
  <si>
    <t>Customer 157</t>
  </si>
  <si>
    <t>Customer 158</t>
  </si>
  <si>
    <t>Customer 159</t>
  </si>
  <si>
    <t>Customer 160</t>
  </si>
  <si>
    <t>Customer 161</t>
  </si>
  <si>
    <t>Customer 162</t>
  </si>
  <si>
    <t>Customer 163</t>
  </si>
  <si>
    <t>Customer 164</t>
  </si>
  <si>
    <t>Customer 165</t>
  </si>
  <si>
    <t>Customer 166</t>
  </si>
  <si>
    <t>Customer 167</t>
  </si>
  <si>
    <t>Customer 168</t>
  </si>
  <si>
    <t>Customer 169</t>
  </si>
  <si>
    <t>Customer 170</t>
  </si>
  <si>
    <t>Customer 171</t>
  </si>
  <si>
    <t>Customer 172</t>
  </si>
  <si>
    <t>Customer 173</t>
  </si>
  <si>
    <t>Customer 174</t>
  </si>
  <si>
    <t>Customer 175</t>
  </si>
  <si>
    <t>C0176</t>
  </si>
  <si>
    <t>Customer 176</t>
  </si>
  <si>
    <t>Customer 177</t>
  </si>
  <si>
    <t>Customer 178</t>
  </si>
  <si>
    <t>Customer 179</t>
  </si>
  <si>
    <t>Customer 180</t>
  </si>
  <si>
    <t>Customer 181</t>
  </si>
  <si>
    <t>Customer 182</t>
  </si>
  <si>
    <t>C0183</t>
  </si>
  <si>
    <t>Customer 183</t>
  </si>
  <si>
    <t>Customer 184</t>
  </si>
  <si>
    <t>Customer 185</t>
  </si>
  <si>
    <t>Customer 186</t>
  </si>
  <si>
    <t>Customer 187</t>
  </si>
  <si>
    <t>Customer 188</t>
  </si>
  <si>
    <t>C0189</t>
  </si>
  <si>
    <t>Customer 189</t>
  </si>
  <si>
    <t>Customer 190</t>
  </si>
  <si>
    <t>Customer 191</t>
  </si>
  <si>
    <t>Customer 192</t>
  </si>
  <si>
    <t>Customer 193</t>
  </si>
  <si>
    <t>Customer 194</t>
  </si>
  <si>
    <t>Customer 195</t>
  </si>
  <si>
    <t>Customer 196</t>
  </si>
  <si>
    <t>Customer 197</t>
  </si>
  <si>
    <t>Customer 198</t>
  </si>
  <si>
    <t>Customer 199</t>
  </si>
  <si>
    <t>Customer 200</t>
  </si>
  <si>
    <t>CreditScoreRange</t>
  </si>
  <si>
    <t>RiskLevel</t>
  </si>
  <si>
    <t>&lt;600</t>
  </si>
  <si>
    <t>High Risk</t>
  </si>
  <si>
    <t>600-750</t>
  </si>
  <si>
    <t>Medium Risk</t>
  </si>
  <si>
    <t>&gt;750</t>
  </si>
  <si>
    <t>Low Risk</t>
  </si>
  <si>
    <t>Employment Type</t>
  </si>
  <si>
    <t>Salary Band</t>
  </si>
  <si>
    <t>Risk_Level</t>
  </si>
  <si>
    <t>KPI</t>
  </si>
  <si>
    <t>Value</t>
  </si>
  <si>
    <t>Total Loans</t>
  </si>
  <si>
    <t>Total Loan Amount</t>
  </si>
  <si>
    <t>Active Loans</t>
  </si>
  <si>
    <t>Default Rate %</t>
  </si>
  <si>
    <t>Avg Credit Score</t>
  </si>
  <si>
    <t>High Risk Customers</t>
  </si>
  <si>
    <t>Row Labels</t>
  </si>
  <si>
    <t>Grand Total</t>
  </si>
  <si>
    <t>Sum of LoanAmount</t>
  </si>
  <si>
    <t>Count of LoanID</t>
  </si>
  <si>
    <t>Count of Status</t>
  </si>
  <si>
    <t>2022</t>
  </si>
  <si>
    <t>2023</t>
  </si>
  <si>
    <t>2024</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</si>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</sst>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800]dddd\,\ mmmm\ dd\,\ yyyy"/>
  </numFmts>
  <fonts count="4" x14ac:knownFonts="1">
    <font>
      <sz val="11"/>
      <color theme="1"/>
      <name val="Calibri"/>
      <family val="2"/>
      <scheme val="minor"/>
    </font>
    <font>
      <b/>
      <sz val="11"/>
      <name val="Calibri"/>
    </font>
    <font>
      <b/>
      <sz val="11"/>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theme="0" tint="-0.499984740745262"/>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2" fillId="0" borderId="0" xfId="0" applyFont="1" applyAlignment="1">
      <alignment horizontal="center" vertical="center" wrapText="1"/>
    </xf>
    <xf numFmtId="0" fontId="3" fillId="0" borderId="0" xfId="0" applyFont="1" applyAlignment="1">
      <alignment horizontal="center" vertical="center" wrapText="1"/>
    </xf>
    <xf numFmtId="1" fontId="3" fillId="0" borderId="0" xfId="0" applyNumberFormat="1" applyFont="1" applyAlignment="1">
      <alignment horizontal="center" vertical="center" wrapText="1"/>
    </xf>
    <xf numFmtId="10" fontId="3" fillId="0" borderId="0" xfId="0" applyNumberFormat="1" applyFont="1" applyAlignment="1">
      <alignment horizontal="center" vertical="center" wrapText="1"/>
    </xf>
    <xf numFmtId="14" fontId="1" fillId="0" borderId="0" xfId="0" applyNumberFormat="1" applyFont="1"/>
    <xf numFmtId="14" fontId="0" fillId="0" borderId="0" xfId="0" applyNumberFormat="1"/>
    <xf numFmtId="0" fontId="0" fillId="2" borderId="0" xfId="0" applyFill="1"/>
    <xf numFmtId="0" fontId="0" fillId="2" borderId="0" xfId="0" applyFill="1" applyAlignment="1">
      <alignment horizontal="left"/>
    </xf>
  </cellXfs>
  <cellStyles count="1">
    <cellStyle name="Normal" xfId="0" builtinId="0"/>
  </cellStyles>
  <dxfs count="78">
    <dxf>
      <font>
        <b/>
        <i val="0"/>
        <strike val="0"/>
        <condense val="0"/>
        <extend val="0"/>
        <outline val="0"/>
        <shadow val="0"/>
        <u val="none"/>
        <vertAlign val="baseline"/>
        <sz val="16"/>
        <color theme="1"/>
        <name val="Calibri"/>
        <family val="2"/>
        <scheme val="minor"/>
      </font>
      <alignment horizontal="center" vertical="center" textRotation="0" wrapText="1" indent="0" justifyLastLine="0" shrinkToFit="0" readingOrder="0"/>
    </dxf>
    <dxf>
      <font>
        <b/>
      </font>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19" formatCode="dd/mm/yyyy"/>
    </dxf>
    <dxf>
      <numFmt numFmtId="19" formatCode="dd/mm/yyyy"/>
    </dxf>
    <dxf>
      <font>
        <b/>
        <i val="0"/>
        <strike val="0"/>
        <condense val="0"/>
        <extend val="0"/>
        <outline val="0"/>
        <shadow val="0"/>
        <u val="none"/>
        <vertAlign val="baseline"/>
        <sz val="11"/>
        <color theme="1"/>
        <name val="Calibri"/>
        <family val="2"/>
        <scheme val="minor"/>
      </font>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ont>
        <color theme="3" tint="-0.24994659260841701"/>
      </font>
    </dxf>
    <dxf>
      <font>
        <color theme="3" tint="-0.499984740745262"/>
      </font>
      <fill>
        <patternFill>
          <fgColor theme="3" tint="0.59996337778862885"/>
          <bgColor theme="0" tint="-0.499984740745262"/>
        </patternFill>
      </fill>
    </dxf>
    <dxf>
      <font>
        <color theme="3" tint="-0.24994659260841701"/>
      </font>
      <fill>
        <patternFill>
          <fgColor theme="3" tint="0.39994506668294322"/>
          <bgColor theme="0" tint="-0.499984740745262"/>
        </patternFill>
      </fill>
    </dxf>
  </dxfs>
  <tableStyles count="3" defaultTableStyle="TableStyleMedium9" defaultPivotStyle="PivotStyleLight16">
    <tableStyle name="Slicer Style 1" pivot="0" table="0" count="1" xr9:uid="{B3A5BB86-4798-4839-A45F-0A83BF4C27EF}">
      <tableStyleElement type="wholeTable" dxfId="77"/>
    </tableStyle>
    <tableStyle name="Slicer Style 2" pivot="0" table="0" count="1" xr9:uid="{92A9BB8D-7CB5-46FF-A90D-DE00B45108C9}">
      <tableStyleElement type="wholeTable" dxfId="76"/>
    </tableStyle>
    <tableStyle name="Slicer Style 3" pivot="0" table="0" count="1" xr9:uid="{0B699594-622D-452F-AFE8-2AA4FFAA7DD5}">
      <tableStyleElement type="wholeTable" dxfId="75"/>
    </tableStyle>
  </tableStyles>
  <extLst>
    <ext xmlns:x14="http://schemas.microsoft.com/office/spreadsheetml/2009/9/main" uri="{EB79DEF2-80B8-43e5-95BD-54CBDDF9020C}">
      <x14:slicerStyles defaultSlicerStyle="Slicer Style 2">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[Bank_Analyst_Project_Data.xlsx]Dashboard!PivotTable3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5138582677165355"/>
          <c:y val="0.26328484981044037"/>
          <c:w val="0.41147353455818025"/>
          <c:h val="0.68578922426363376"/>
        </c:manualLayout>
      </c:layout>
      <c:doughnutChart>
        <c:varyColors val="1"/>
        <c:ser>
          <c:idx val="0"/>
          <c:order val="0"/>
          <c:tx>
            <c:strRef>
              <c:f>Dashboard!$I$3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BCB-4125-A32D-4116CB0353C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BCB-4125-A32D-4116CB0353C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BCB-4125-A32D-4116CB0353C0}"/>
              </c:ext>
            </c:extLst>
          </c:dPt>
          <c:cat>
            <c:strRef>
              <c:f>Dashboard!$H$4:$H$7</c:f>
              <c:strCache>
                <c:ptCount val="3"/>
                <c:pt idx="0">
                  <c:v>High Risk</c:v>
                </c:pt>
                <c:pt idx="1">
                  <c:v>Low Risk</c:v>
                </c:pt>
                <c:pt idx="2">
                  <c:v>Medium Risk</c:v>
                </c:pt>
              </c:strCache>
            </c:strRef>
          </c:cat>
          <c:val>
            <c:numRef>
              <c:f>Dashboard!$I$4:$I$7</c:f>
              <c:numCache>
                <c:formatCode>General</c:formatCode>
                <c:ptCount val="3"/>
                <c:pt idx="0">
                  <c:v>161</c:v>
                </c:pt>
                <c:pt idx="1">
                  <c:v>133</c:v>
                </c:pt>
                <c:pt idx="2">
                  <c:v>206</c:v>
                </c:pt>
              </c:numCache>
            </c:numRef>
          </c:val>
          <c:extLst>
            <c:ext xmlns:c16="http://schemas.microsoft.com/office/drawing/2014/chart" uri="{C3380CC4-5D6E-409C-BE32-E72D297353CC}">
              <c16:uniqueId val="{00000000-BD28-4521-897D-0A9525438B7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[Bank_Analyst_Project_Data.xlsx]Dashboard!PivotTable4</c:name>
    <c:fmtId val="11"/>
  </c:pivotSource>
  <c:chart>
    <c:autoTitleDeleted val="1"/>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Dashboard!$M$3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Dashboard!$L$4:$L$7</c:f>
              <c:strCache>
                <c:ptCount val="3"/>
                <c:pt idx="0">
                  <c:v>2022</c:v>
                </c:pt>
                <c:pt idx="1">
                  <c:v>2023</c:v>
                </c:pt>
                <c:pt idx="2">
                  <c:v>2024</c:v>
                </c:pt>
              </c:strCache>
            </c:strRef>
          </c:cat>
          <c:val>
            <c:numRef>
              <c:f>Dashboard!$M$4:$M$7</c:f>
              <c:numCache>
                <c:formatCode>General</c:formatCode>
                <c:ptCount val="3"/>
                <c:pt idx="0">
                  <c:v>185888429</c:v>
                </c:pt>
                <c:pt idx="1">
                  <c:v>195661403</c:v>
                </c:pt>
                <c:pt idx="2">
                  <c:v>133817924</c:v>
                </c:pt>
              </c:numCache>
            </c:numRef>
          </c:val>
          <c:smooth val="0"/>
          <c:extLst>
            <c:ext xmlns:c16="http://schemas.microsoft.com/office/drawing/2014/chart" uri="{C3380CC4-5D6E-409C-BE32-E72D297353CC}">
              <c16:uniqueId val="{00000000-9743-4BF2-8B85-A80EF9CE82ED}"/>
            </c:ext>
          </c:extLst>
        </c:ser>
        <c:dLbls>
          <c:showLegendKey val="0"/>
          <c:showVal val="0"/>
          <c:showCatName val="0"/>
          <c:showSerName val="0"/>
          <c:showPercent val="0"/>
          <c:showBubbleSize val="0"/>
        </c:dLbls>
        <c:marker val="1"/>
        <c:smooth val="0"/>
        <c:axId val="61433552"/>
        <c:axId val="1944242896"/>
      </c:lineChart>
      <c:catAx>
        <c:axId val="614335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4242896"/>
        <c:crosses val="autoZero"/>
        <c:auto val="1"/>
        <c:lblAlgn val="ctr"/>
        <c:lblOffset val="100"/>
        <c:noMultiLvlLbl val="0"/>
      </c:catAx>
      <c:valAx>
        <c:axId val="19442428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433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7620</xdr:colOff>
      <xdr:row>13</xdr:row>
      <xdr:rowOff>91440</xdr:rowOff>
    </xdr:from>
    <xdr:to>
      <xdr:col>9</xdr:col>
      <xdr:colOff>426720</xdr:colOff>
      <xdr:row>25</xdr:row>
      <xdr:rowOff>22860</xdr:rowOff>
    </xdr:to>
    <xdr:graphicFrame macro="">
      <xdr:nvGraphicFramePr>
        <xdr:cNvPr id="2" name="Chart 1">
          <a:extLst>
            <a:ext uri="{FF2B5EF4-FFF2-40B4-BE49-F238E27FC236}">
              <a16:creationId xmlns:a16="http://schemas.microsoft.com/office/drawing/2014/main" id="{B8DC901F-7E8F-8F1F-351D-C039E8D18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563880</xdr:colOff>
      <xdr:row>13</xdr:row>
      <xdr:rowOff>87630</xdr:rowOff>
    </xdr:from>
    <xdr:to>
      <xdr:col>14</xdr:col>
      <xdr:colOff>419100</xdr:colOff>
      <xdr:row>25</xdr:row>
      <xdr:rowOff>15240</xdr:rowOff>
    </xdr:to>
    <xdr:graphicFrame macro="">
      <xdr:nvGraphicFramePr>
        <xdr:cNvPr id="3" name="Chart 2">
          <a:extLst>
            <a:ext uri="{FF2B5EF4-FFF2-40B4-BE49-F238E27FC236}">
              <a16:creationId xmlns:a16="http://schemas.microsoft.com/office/drawing/2014/main" id="{D4AA475F-EABE-7F57-C1F3-2B94FDF193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22860</xdr:colOff>
      <xdr:row>9</xdr:row>
      <xdr:rowOff>45721</xdr:rowOff>
    </xdr:from>
    <xdr:to>
      <xdr:col>1</xdr:col>
      <xdr:colOff>990600</xdr:colOff>
      <xdr:row>17</xdr:row>
      <xdr:rowOff>91441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B3598882-2265-E72F-98A4-C0E7EB13A6F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860" y="1691641"/>
              <a:ext cx="1828800"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464820</xdr:colOff>
      <xdr:row>9</xdr:row>
      <xdr:rowOff>30481</xdr:rowOff>
    </xdr:from>
    <xdr:to>
      <xdr:col>4</xdr:col>
      <xdr:colOff>822960</xdr:colOff>
      <xdr:row>17</xdr:row>
      <xdr:rowOff>91441</xdr:rowOff>
    </xdr:to>
    <mc:AlternateContent xmlns:mc="http://schemas.openxmlformats.org/markup-compatibility/2006" xmlns:a14="http://schemas.microsoft.com/office/drawing/2010/main">
      <mc:Choice Requires="a14">
        <xdr:graphicFrame macro="">
          <xdr:nvGraphicFramePr>
            <xdr:cNvPr id="5" name="LoanType">
              <a:extLst>
                <a:ext uri="{FF2B5EF4-FFF2-40B4-BE49-F238E27FC236}">
                  <a16:creationId xmlns:a16="http://schemas.microsoft.com/office/drawing/2014/main" id="{ADFB5105-5FF9-E1CA-1CBD-E351C55D236F}"/>
                </a:ext>
              </a:extLst>
            </xdr:cNvPr>
            <xdr:cNvGraphicFramePr/>
          </xdr:nvGraphicFramePr>
          <xdr:xfrm>
            <a:off x="0" y="0"/>
            <a:ext cx="0" cy="0"/>
          </xdr:xfrm>
          <a:graphic>
            <a:graphicData uri="http://schemas.microsoft.com/office/drawing/2010/slicer">
              <sle:slicer xmlns:sle="http://schemas.microsoft.com/office/drawing/2010/slicer" name="LoanType"/>
            </a:graphicData>
          </a:graphic>
        </xdr:graphicFrame>
      </mc:Choice>
      <mc:Fallback xmlns="">
        <xdr:sp macro="" textlink="">
          <xdr:nvSpPr>
            <xdr:cNvPr id="0" name=""/>
            <xdr:cNvSpPr>
              <a:spLocks noTextEdit="1"/>
            </xdr:cNvSpPr>
          </xdr:nvSpPr>
          <xdr:spPr>
            <a:xfrm>
              <a:off x="2606040" y="1676401"/>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480060</xdr:colOff>
      <xdr:row>18</xdr:row>
      <xdr:rowOff>22861</xdr:rowOff>
    </xdr:from>
    <xdr:to>
      <xdr:col>4</xdr:col>
      <xdr:colOff>838200</xdr:colOff>
      <xdr:row>24</xdr:row>
      <xdr:rowOff>167641</xdr:rowOff>
    </xdr:to>
    <mc:AlternateContent xmlns:mc="http://schemas.openxmlformats.org/markup-compatibility/2006" xmlns:a14="http://schemas.microsoft.com/office/drawing/2010/main">
      <mc:Choice Requires="a14">
        <xdr:graphicFrame macro="">
          <xdr:nvGraphicFramePr>
            <xdr:cNvPr id="6" name="Status">
              <a:extLst>
                <a:ext uri="{FF2B5EF4-FFF2-40B4-BE49-F238E27FC236}">
                  <a16:creationId xmlns:a16="http://schemas.microsoft.com/office/drawing/2014/main" id="{1B8EC844-DABA-F9F9-7E2F-BE75E2811049}"/>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621280" y="3314701"/>
              <a:ext cx="182880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18</xdr:row>
      <xdr:rowOff>30481</xdr:rowOff>
    </xdr:from>
    <xdr:to>
      <xdr:col>1</xdr:col>
      <xdr:colOff>990600</xdr:colOff>
      <xdr:row>24</xdr:row>
      <xdr:rowOff>167641</xdr:rowOff>
    </xdr:to>
    <mc:AlternateContent xmlns:mc="http://schemas.openxmlformats.org/markup-compatibility/2006" xmlns:a14="http://schemas.microsoft.com/office/drawing/2010/main">
      <mc:Choice Requires="a14">
        <xdr:graphicFrame macro="">
          <xdr:nvGraphicFramePr>
            <xdr:cNvPr id="7" name="Risk_Level">
              <a:extLst>
                <a:ext uri="{FF2B5EF4-FFF2-40B4-BE49-F238E27FC236}">
                  <a16:creationId xmlns:a16="http://schemas.microsoft.com/office/drawing/2014/main" id="{73CC44F0-68E4-CE37-C81C-63985E58C3FA}"/>
                </a:ext>
              </a:extLst>
            </xdr:cNvPr>
            <xdr:cNvGraphicFramePr/>
          </xdr:nvGraphicFramePr>
          <xdr:xfrm>
            <a:off x="0" y="0"/>
            <a:ext cx="0" cy="0"/>
          </xdr:xfrm>
          <a:graphic>
            <a:graphicData uri="http://schemas.microsoft.com/office/drawing/2010/slicer">
              <sle:slicer xmlns:sle="http://schemas.microsoft.com/office/drawing/2010/slicer" name="Risk_Level"/>
            </a:graphicData>
          </a:graphic>
        </xdr:graphicFrame>
      </mc:Choice>
      <mc:Fallback xmlns="">
        <xdr:sp macro="" textlink="">
          <xdr:nvSpPr>
            <xdr:cNvPr id="0" name=""/>
            <xdr:cNvSpPr>
              <a:spLocks noTextEdit="1"/>
            </xdr:cNvSpPr>
          </xdr:nvSpPr>
          <xdr:spPr>
            <a:xfrm>
              <a:off x="22860" y="3322321"/>
              <a:ext cx="18288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ar gulia" refreshedDate="46082.102539699074" createdVersion="8" refreshedVersion="8" minRefreshableVersion="3" recordCount="500" xr:uid="{BAA03A7C-B91F-448D-8D2C-30D60A5282B1}">
  <cacheSource type="worksheet">
    <worksheetSource name="Table2"/>
  </cacheSource>
  <cacheFields count="17">
    <cacheField name="LoanID" numFmtId="0">
      <sharedItems/>
    </cacheField>
    <cacheField name="CustomerID" numFmtId="0">
      <sharedItems/>
    </cacheField>
    <cacheField name="Age" numFmtId="0">
      <sharedItems containsSemiMixedTypes="0" containsString="0" containsNumber="1" containsInteger="1" minValue="22" maxValue="60"/>
    </cacheField>
    <cacheField name="Income" numFmtId="0">
      <sharedItems containsSemiMixedTypes="0" containsString="0" containsNumber="1" containsInteger="1" minValue="26076" maxValue="199608"/>
    </cacheField>
    <cacheField name="LoanAmount" numFmtId="0">
      <sharedItems containsSemiMixedTypes="0" containsString="0" containsNumber="1" containsInteger="1" minValue="102869" maxValue="1993034"/>
    </cacheField>
    <cacheField name="InterestRate" numFmtId="0">
      <sharedItems containsSemiMixedTypes="0" containsString="0" containsNumber="1" minValue="7.5" maxValue="16.5"/>
    </cacheField>
    <cacheField name="TenureMonths" numFmtId="0">
      <sharedItems containsSemiMixedTypes="0" containsString="0" containsNumber="1" containsInteger="1" minValue="12" maxValue="240"/>
    </cacheField>
    <cacheField name="CreditScore" numFmtId="0">
      <sharedItems containsSemiMixedTypes="0" containsString="0" containsNumber="1" containsInteger="1" minValue="450" maxValue="850"/>
    </cacheField>
    <cacheField name="Region" numFmtId="0">
      <sharedItems count="4">
        <s v="North"/>
        <s v="East"/>
        <s v="South"/>
        <s v="West"/>
      </sharedItems>
    </cacheField>
    <cacheField name="LoanType" numFmtId="0">
      <sharedItems count="4">
        <s v="Business Loan"/>
        <s v="Car Loan"/>
        <s v="Home Loan"/>
        <s v="Personal Loan"/>
      </sharedItems>
    </cacheField>
    <cacheField name="EMI" numFmtId="0">
      <sharedItems containsSemiMixedTypes="0" containsString="0" containsNumber="1" containsInteger="1" minValue="1297" maxValue="176770"/>
    </cacheField>
    <cacheField name="Status" numFmtId="0">
      <sharedItems count="3">
        <s v="Closed"/>
        <s v="Active"/>
        <s v="Defaulted"/>
      </sharedItems>
    </cacheField>
    <cacheField name="StartDate" numFmtId="164">
      <sharedItems containsNonDate="0" containsDate="1" containsMixedTypes="1" minDate="2022-01-04T00:00:00" maxDate="2024-09-26T00:00:00" count="786">
        <d v="2023-01-27T00:00:00"/>
        <d v="2022-01-08T00:00:00"/>
        <d v="2023-05-01T00:00:00"/>
        <d v="2024-01-15T00:00:00"/>
        <d v="2024-01-24T00:00:00"/>
        <d v="2023-07-27T00:00:00"/>
        <d v="2022-12-18T00:00:00"/>
        <d v="2024-07-08T00:00:00"/>
        <d v="2024-01-30T00:00:00"/>
        <d v="2023-07-16T00:00:00"/>
        <d v="2023-10-03T00:00:00"/>
        <d v="2024-07-30T00:00:00"/>
        <d v="2023-09-25T00:00:00"/>
        <d v="2024-05-26T00:00:00"/>
        <d v="2023-10-09T00:00:00"/>
        <d v="2022-02-25T00:00:00"/>
        <d v="2024-02-05T00:00:00"/>
        <d v="2023-05-11T00:00:00"/>
        <d v="2024-04-10T00:00:00"/>
        <d v="2023-03-27T00:00:00"/>
        <d v="2023-09-27T00:00:00"/>
        <d v="2023-02-20T00:00:00"/>
        <d v="2024-09-20T00:00:00"/>
        <d v="2022-09-24T00:00:00"/>
        <d v="2024-07-15T00:00:00"/>
        <d v="2022-04-13T00:00:00"/>
        <d v="2023-01-31T00:00:00"/>
        <d v="2022-05-29T00:00:00"/>
        <d v="2023-06-09T00:00:00"/>
        <d v="2023-08-28T00:00:00"/>
        <d v="2024-05-18T00:00:00"/>
        <d v="2022-10-23T00:00:00"/>
        <d v="2023-12-21T00:00:00"/>
        <d v="2023-04-19T00:00:00"/>
        <d v="2023-06-29T00:00:00"/>
        <d v="2024-08-09T00:00:00"/>
        <d v="2022-05-21T00:00:00"/>
        <d v="2024-07-11T00:00:00"/>
        <d v="2024-02-01T00:00:00"/>
        <d v="2024-03-19T00:00:00"/>
        <d v="2024-08-21T00:00:00"/>
        <d v="2022-01-11T00:00:00"/>
        <d v="2023-08-24T00:00:00"/>
        <d v="2023-10-23T00:00:00"/>
        <d v="2023-06-18T00:00:00"/>
        <d v="2022-02-27T00:00:00"/>
        <d v="2023-07-09T00:00:00"/>
        <d v="2022-02-02T00:00:00"/>
        <d v="2022-09-08T00:00:00"/>
        <d v="2022-02-06T00:00:00"/>
        <d v="2023-12-03T00:00:00"/>
        <d v="2023-07-23T00:00:00"/>
        <d v="2023-04-22T00:00:00"/>
        <d v="2022-12-25T00:00:00"/>
        <d v="2022-11-21T00:00:00"/>
        <d v="2023-12-27T00:00:00"/>
        <d v="2022-09-19T00:00:00"/>
        <d v="2024-05-08T00:00:00"/>
        <d v="2022-06-17T00:00:00"/>
        <d v="2023-11-03T00:00:00"/>
        <d v="2022-03-22T00:00:00"/>
        <d v="2024-08-25T00:00:00"/>
        <d v="2023-08-26T00:00:00"/>
        <d v="2023-01-22T00:00:00"/>
        <d v="2023-01-21T00:00:00"/>
        <d v="2024-08-15T00:00:00"/>
        <d v="2022-07-19T00:00:00"/>
        <d v="2023-05-31T00:00:00"/>
        <d v="2022-09-09T00:00:00"/>
        <d v="2023-08-14T00:00:00"/>
        <d v="2023-09-12T00:00:00"/>
        <d v="2022-01-31T00:00:00"/>
        <d v="2024-05-05T00:00:00"/>
        <d v="2024-02-26T00:00:00"/>
        <d v="2023-11-22T00:00:00"/>
        <d v="2022-01-06T00:00:00"/>
        <d v="2022-11-26T00:00:00"/>
        <d v="2024-05-21T00:00:00"/>
        <d v="2023-06-06T00:00:00"/>
        <d v="2024-08-22T00:00:00"/>
        <d v="2023-03-18T00:00:00"/>
        <d v="2024-01-28T00:00:00"/>
        <d v="2023-06-24T00:00:00"/>
        <d v="2023-04-07T00:00:00"/>
        <d v="2024-04-04T00:00:00"/>
        <d v="2024-01-21T00:00:00"/>
        <d v="2022-10-08T00:00:00"/>
        <d v="2024-03-08T00:00:00"/>
        <d v="2022-05-14T00:00:00"/>
        <d v="2022-08-21T00:00:00"/>
        <d v="2023-10-02T00:00:00"/>
        <d v="2024-07-18T00:00:00"/>
        <d v="2023-09-20T00:00:00"/>
        <d v="2024-04-09T00:00:00"/>
        <d v="2024-06-18T00:00:00"/>
        <d v="2022-12-27T00:00:00"/>
        <d v="2023-05-02T00:00:00"/>
        <d v="2022-10-28T00:00:00"/>
        <d v="2023-03-22T00:00:00"/>
        <d v="2024-01-23T00:00:00"/>
        <d v="2023-12-31T00:00:00"/>
        <d v="2024-09-03T00:00:00"/>
        <d v="2022-06-23T00:00:00"/>
        <d v="2023-06-08T00:00:00"/>
        <d v="2024-08-02T00:00:00"/>
        <d v="2024-07-29T00:00:00"/>
        <d v="2022-02-07T00:00:00"/>
        <d v="2023-04-13T00:00:00"/>
        <d v="2024-07-22T00:00:00"/>
        <d v="2022-06-04T00:00:00"/>
        <d v="2023-02-18T00:00:00"/>
        <d v="2022-03-15T00:00:00"/>
        <d v="2024-06-01T00:00:00"/>
        <d v="2023-09-28T00:00:00"/>
        <d v="2023-06-25T00:00:00"/>
        <d v="2024-09-12T00:00:00"/>
        <d v="2023-05-20T00:00:00"/>
        <d v="2024-04-27T00:00:00"/>
        <d v="2024-04-12T00:00:00"/>
        <d v="2023-09-22T00:00:00"/>
        <d v="2023-08-02T00:00:00"/>
        <d v="2024-05-03T00:00:00"/>
        <d v="2023-01-16T00:00:00"/>
        <d v="2023-09-24T00:00:00"/>
        <d v="2024-07-23T00:00:00"/>
        <d v="2023-04-17T00:00:00"/>
        <d v="2024-05-11T00:00:00"/>
        <d v="2023-09-02T00:00:00"/>
        <d v="2023-05-19T00:00:00"/>
        <d v="2022-11-15T00:00:00"/>
        <d v="2024-05-19T00:00:00"/>
        <d v="2023-11-01T00:00:00"/>
        <d v="2022-11-30T00:00:00"/>
        <d v="2022-03-25T00:00:00"/>
        <d v="2024-09-09T00:00:00"/>
        <d v="2022-10-07T00:00:00"/>
        <d v="2023-10-13T00:00:00"/>
        <d v="2023-04-01T00:00:00"/>
        <d v="2023-06-27T00:00:00"/>
        <d v="2022-12-31T00:00:00"/>
        <d v="2024-05-22T00:00:00"/>
        <d v="2022-10-18T00:00:00"/>
        <d v="2023-09-04T00:00:00"/>
        <d v="2024-01-12T00:00:00"/>
        <d v="2022-09-23T00:00:00"/>
        <d v="2024-05-17T00:00:00"/>
        <d v="2024-06-29T00:00:00"/>
        <d v="2022-06-07T00:00:00"/>
        <d v="2023-12-29T00:00:00"/>
        <d v="2023-04-02T00:00:00"/>
        <d v="2022-12-02T00:00:00"/>
        <d v="2024-02-14T00:00:00"/>
        <d v="2023-05-30T00:00:00"/>
        <d v="2023-07-02T00:00:00"/>
        <d v="2023-07-10T00:00:00"/>
        <d v="2022-10-14T00:00:00"/>
        <d v="2022-10-16T00:00:00"/>
        <d v="2023-10-16T00:00:00"/>
        <d v="2022-01-20T00:00:00"/>
        <d v="2022-05-16T00:00:00"/>
        <d v="2022-10-15T00:00:00"/>
        <d v="2022-03-08T00:00:00"/>
        <d v="2022-07-26T00:00:00"/>
        <d v="2023-11-08T00:00:00"/>
        <d v="2024-05-13T00:00:00"/>
        <d v="2022-06-06T00:00:00"/>
        <d v="2022-03-02T00:00:00"/>
        <d v="2023-01-04T00:00:00"/>
        <d v="2024-08-23T00:00:00"/>
        <d v="2024-07-27T00:00:00"/>
        <d v="2022-12-08T00:00:00"/>
        <d v="2023-01-08T00:00:00"/>
        <d v="2024-06-17T00:00:00"/>
        <d v="2024-08-04T00:00:00"/>
        <d v="2023-11-18T00:00:00"/>
        <d v="2024-03-07T00:00:00"/>
        <d v="2024-03-29T00:00:00"/>
        <d v="2022-09-18T00:00:00"/>
        <d v="2022-10-05T00:00:00"/>
        <d v="2023-03-02T00:00:00"/>
        <d v="2023-01-01T00:00:00"/>
        <d v="2024-06-23T00:00:00"/>
        <d v="2022-05-15T00:00:00"/>
        <d v="2023-11-07T00:00:00"/>
        <d v="2022-03-01T00:00:00"/>
        <d v="2023-07-24T00:00:00"/>
        <d v="2023-01-18T00:00:00"/>
        <d v="2023-04-11T00:00:00"/>
        <d v="2023-10-12T00:00:00"/>
        <d v="2023-12-06T00:00:00"/>
        <d v="2023-04-23T00:00:00"/>
        <d v="2024-01-25T00:00:00"/>
        <d v="2024-02-07T00:00:00"/>
        <d v="2023-03-06T00:00:00"/>
        <d v="2022-07-16T00:00:00"/>
        <d v="2023-06-16T00:00:00"/>
        <d v="2024-08-07T00:00:00"/>
        <d v="2023-08-15T00:00:00"/>
        <d v="2023-09-11T00:00:00"/>
        <d v="2023-08-30T00:00:00"/>
        <d v="2024-08-26T00:00:00"/>
        <d v="2023-12-24T00:00:00"/>
        <d v="2022-05-17T00:00:00"/>
        <d v="2022-05-12T00:00:00"/>
        <d v="2024-09-21T00:00:00"/>
        <d v="2022-02-13T00:00:00"/>
        <d v="2022-12-04T00:00:00"/>
        <d v="2022-10-17T00:00:00"/>
        <d v="2023-11-17T00:00:00"/>
        <d v="2022-09-03T00:00:00"/>
        <d v="2022-05-22T00:00:00"/>
        <d v="2023-06-21T00:00:00"/>
        <d v="2022-01-30T00:00:00"/>
        <d v="2024-03-11T00:00:00"/>
        <d v="2023-02-10T00:00:00"/>
        <d v="2023-12-15T00:00:00"/>
        <d v="2022-10-26T00:00:00"/>
        <d v="2024-06-12T00:00:00"/>
        <d v="2022-06-19T00:00:00"/>
        <d v="2023-12-07T00:00:00"/>
        <d v="2022-12-15T00:00:00"/>
        <d v="2022-09-14T00:00:00"/>
        <d v="2023-09-10T00:00:00"/>
        <d v="2023-03-05T00:00:00"/>
        <d v="2022-02-04T00:00:00"/>
        <d v="2022-04-22T00:00:00"/>
        <d v="2022-03-05T00:00:00"/>
        <d v="2022-07-11T00:00:00"/>
        <d v="2022-10-27T00:00:00"/>
        <d v="2022-05-20T00:00:00"/>
        <d v="2023-06-05T00:00:00"/>
        <d v="2023-04-29T00:00:00"/>
        <d v="2022-04-21T00:00:00"/>
        <d v="2023-01-20T00:00:00"/>
        <d v="2022-07-29T00:00:00"/>
        <d v="2024-04-19T00:00:00"/>
        <d v="2023-04-12T00:00:00"/>
        <d v="2022-12-01T00:00:00"/>
        <d v="2023-09-05T00:00:00"/>
        <d v="2022-08-08T00:00:00"/>
        <d v="2022-06-16T00:00:00"/>
        <d v="2024-09-11T00:00:00"/>
        <d v="2023-12-11T00:00:00"/>
        <d v="2022-01-29T00:00:00"/>
        <d v="2022-05-23T00:00:00"/>
        <d v="2023-01-17T00:00:00"/>
        <d v="2022-11-12T00:00:00"/>
        <d v="2023-12-22T00:00:00"/>
        <d v="2024-03-26T00:00:00"/>
        <d v="2023-07-06T00:00:00"/>
        <d v="2022-01-07T00:00:00"/>
        <d v="2022-05-03T00:00:00"/>
        <d v="2023-05-10T00:00:00"/>
        <d v="2023-09-18T00:00:00"/>
        <d v="2022-09-04T00:00:00"/>
        <d v="2024-03-28T00:00:00"/>
        <d v="2024-08-13T00:00:00"/>
        <d v="2022-11-29T00:00:00"/>
        <d v="2023-08-16T00:00:00"/>
        <d v="2022-12-03T00:00:00"/>
        <d v="2023-12-02T00:00:00"/>
        <d v="2024-08-30T00:00:00"/>
        <d v="2024-09-02T00:00:00"/>
        <d v="2024-04-15T00:00:00"/>
        <d v="2022-06-18T00:00:00"/>
        <d v="2022-06-09T00:00:00"/>
        <d v="2023-06-01T00:00:00"/>
        <d v="2024-04-14T00:00:00"/>
        <d v="2024-05-30T00:00:00"/>
        <d v="2022-02-24T00:00:00"/>
        <d v="2022-06-26T00:00:00"/>
        <d v="2022-06-24T00:00:00"/>
        <d v="2022-09-02T00:00:00"/>
        <d v="2023-11-27T00:00:00"/>
        <d v="2023-04-30T00:00:00"/>
        <d v="2022-02-08T00:00:00"/>
        <d v="2023-03-16T00:00:00"/>
        <d v="2023-10-19T00:00:00"/>
        <d v="2023-01-07T00:00:00"/>
        <d v="2024-06-13T00:00:00"/>
        <d v="2023-02-21T00:00:00"/>
        <d v="2024-08-12T00:00:00"/>
        <d v="2022-04-17T00:00:00"/>
        <d v="2022-04-18T00:00:00"/>
        <d v="2024-07-21T00:00:00"/>
        <d v="2022-01-23T00:00:00"/>
        <d v="2022-02-14T00:00:00"/>
        <d v="2024-09-05T00:00:00"/>
        <d v="2022-07-15T00:00:00"/>
        <d v="2023-07-28T00:00:00"/>
        <d v="2022-12-23T00:00:00"/>
        <d v="2024-02-29T00:00:00"/>
        <d v="2023-02-14T00:00:00"/>
        <d v="2023-04-24T00:00:00"/>
        <d v="2024-08-01T00:00:00"/>
        <d v="2022-01-04T00:00:00"/>
        <d v="2024-02-17T00:00:00"/>
        <d v="2024-07-10T00:00:00"/>
        <d v="2023-11-30T00:00:00"/>
        <d v="2024-03-10T00:00:00"/>
        <d v="2023-07-22T00:00:00"/>
        <d v="2023-10-27T00:00:00"/>
        <d v="2024-02-21T00:00:00"/>
        <d v="2022-06-03T00:00:00"/>
        <d v="2023-01-11T00:00:00"/>
        <d v="2024-05-14T00:00:00"/>
        <d v="2023-11-21T00:00:00"/>
        <d v="2023-10-08T00:00:00"/>
        <d v="2023-07-04T00:00:00"/>
        <d v="2022-08-09T00:00:00"/>
        <d v="2024-01-22T00:00:00"/>
        <d v="2024-01-14T00:00:00"/>
        <d v="2023-07-20T00:00:00"/>
        <d v="2023-12-01T00:00:00"/>
        <d v="2022-08-27T00:00:00"/>
        <d v="2024-01-02T00:00:00"/>
        <d v="2024-09-25T00:00:00"/>
        <d v="2022-01-12T00:00:00"/>
        <d v="2022-03-29T00:00:00"/>
        <d v="2022-08-28T00:00:00"/>
        <d v="2023-08-06T00:00:00"/>
        <d v="2024-02-12T00:00:00"/>
        <d v="2022-11-22T00:00:00"/>
        <d v="2022-10-04T00:00:00"/>
        <d v="2024-03-23T00:00:00"/>
        <d v="2024-09-01T00:00:00"/>
        <d v="2024-01-01T00:00:00"/>
        <d v="2023-03-23T00:00:00"/>
        <d v="2022-04-16T00:00:00"/>
        <d v="2023-03-26T00:00:00"/>
        <d v="2022-02-03T00:00:00"/>
        <d v="2023-04-03T00:00:00"/>
        <d v="2023-09-26T00:00:00"/>
        <d v="2023-10-14T00:00:00"/>
        <d v="2023-05-17T00:00:00"/>
        <d v="2023-12-25T00:00:00"/>
        <d v="2022-10-25T00:00:00"/>
        <d v="2024-02-11T00:00:00"/>
        <d v="2023-12-09T00:00:00"/>
        <d v="2022-05-30T00:00:00"/>
        <d v="2024-07-01T00:00:00"/>
        <d v="2023-06-14T00:00:00"/>
        <d v="2022-06-29T00:00:00"/>
        <d v="2022-04-05T00:00:00"/>
        <d v="2023-03-14T00:00:00"/>
        <d v="2022-01-21T00:00:00"/>
        <d v="2023-01-28T00:00:00"/>
        <d v="2023-02-28T00:00:00"/>
        <d v="2022-02-26T00:00:00"/>
        <d v="2023-05-21T00:00:00"/>
        <d v="2022-03-31T00:00:00"/>
        <d v="2022-12-11T00:00:00"/>
        <d v="2023-06-22T00:00:00"/>
        <d v="2024-01-27T00:00:00"/>
        <d v="2022-05-05T00:00:00"/>
        <d v="2023-08-20T00:00:00"/>
        <d v="2024-06-10T00:00:00"/>
        <d v="2022-05-27T00:00:00"/>
        <d v="2024-06-22T00:00:00"/>
        <d v="2024-02-25T00:00:00"/>
        <d v="2022-06-08T00:00:00"/>
        <d v="2024-05-07T00:00:00"/>
        <d v="2023-02-26T00:00:00"/>
        <d v="2024-03-16T00:00:00"/>
        <d v="2023-03-17T00:00:00"/>
        <d v="2022-12-06T00:00:00"/>
        <d v="2022-07-04T00:00:00"/>
        <d v="2024-05-10T00:00:00"/>
        <d v="2022-08-04T00:00:00"/>
        <d v="2022-05-07T00:00:00"/>
        <d v="2024-05-04T00:00:00"/>
        <d v="2023-08-22T00:00:00"/>
        <d v="2022-02-23T00:00:00"/>
        <d v="2023-04-10T00:00:00"/>
        <d v="2024-04-11T00:00:00"/>
        <d v="2024-03-04T00:00:00"/>
        <d v="2022-07-14T00:00:00"/>
        <d v="2023-12-05T00:00:00"/>
        <d v="2024-09-07T00:00:00"/>
        <d v="2023-10-01T00:00:00"/>
        <d v="2024-01-26T00:00:00"/>
        <d v="2023-02-11T00:00:00"/>
        <d v="2022-06-11T00:00:00"/>
        <d v="2022-06-05T00:00:00"/>
        <d v="2024-05-29T00:00:00"/>
        <d v="2023-09-23T00:00:00"/>
        <d v="2023-07-03T00:00:00"/>
        <d v="2022-01-22T00:00:00"/>
        <d v="2022-03-10T00:00:00"/>
        <d v="2022-08-15T00:00:00"/>
        <d v="2022-05-09T00:00:00"/>
        <d v="2024-02-04T00:00:00"/>
        <d v="2022-04-26T00:00:00"/>
        <s v="2023-01-27" u="1"/>
        <s v="2022-01-08" u="1"/>
        <s v="2023-05-01" u="1"/>
        <s v="2024-01-15" u="1"/>
        <s v="2024-01-24" u="1"/>
        <s v="2023-07-27" u="1"/>
        <s v="2022-12-18" u="1"/>
        <s v="2024-07-08" u="1"/>
        <s v="2024-01-30" u="1"/>
        <s v="2023-07-16" u="1"/>
        <s v="2023-10-03" u="1"/>
        <s v="2024-07-30" u="1"/>
        <s v="2023-09-25" u="1"/>
        <s v="2024-05-26" u="1"/>
        <s v="2023-10-09" u="1"/>
        <s v="2022-02-25" u="1"/>
        <s v="2024-02-05" u="1"/>
        <s v="2023-05-11" u="1"/>
        <s v="2024-04-10" u="1"/>
        <s v="2023-03-27" u="1"/>
        <s v="2023-09-27" u="1"/>
        <s v="2023-02-20" u="1"/>
        <s v="2024-09-20" u="1"/>
        <s v="2022-09-24" u="1"/>
        <s v="2024-07-15" u="1"/>
        <s v="2022-04-13" u="1"/>
        <s v="2023-01-31" u="1"/>
        <s v="2022-05-29" u="1"/>
        <s v="2023-06-09" u="1"/>
        <s v="2023-08-28" u="1"/>
        <s v="2024-05-18" u="1"/>
        <s v="2022-10-23" u="1"/>
        <s v="2023-12-21" u="1"/>
        <s v="2023-04-19" u="1"/>
        <s v="2023-06-29" u="1"/>
        <s v="2024-08-09" u="1"/>
        <s v="2022-05-21" u="1"/>
        <s v="2024-07-11" u="1"/>
        <s v="2024-02-01" u="1"/>
        <s v="2024-03-19" u="1"/>
        <s v="2024-08-21" u="1"/>
        <s v="2022-01-11" u="1"/>
        <s v="2023-08-24" u="1"/>
        <s v="2023-10-23" u="1"/>
        <s v="2023-06-18" u="1"/>
        <s v="2022-02-27" u="1"/>
        <s v="2023-07-09" u="1"/>
        <s v="2022-02-02" u="1"/>
        <s v="2022-09-08" u="1"/>
        <s v="2022-02-06" u="1"/>
        <s v="2023-12-03" u="1"/>
        <s v="2023-07-23" u="1"/>
        <s v="2023-04-22" u="1"/>
        <s v="2022-12-25" u="1"/>
        <s v="2022-11-21" u="1"/>
        <s v="2023-12-27" u="1"/>
        <s v="2022-09-19" u="1"/>
        <s v="2024-05-08" u="1"/>
        <s v="2022-06-17" u="1"/>
        <s v="2023-11-03" u="1"/>
        <s v="2022-03-22" u="1"/>
        <s v="2024-08-25" u="1"/>
        <s v="2023-08-26" u="1"/>
        <s v="2023-01-22" u="1"/>
        <s v="2023-01-21" u="1"/>
        <s v="2024-08-15" u="1"/>
        <s v="2022-07-19" u="1"/>
        <s v="2023-05-31" u="1"/>
        <s v="2022-09-09" u="1"/>
        <s v="2023-08-14" u="1"/>
        <s v="2023-09-12" u="1"/>
        <s v="2022-01-31" u="1"/>
        <s v="2024-05-05" u="1"/>
        <s v="2024-02-26" u="1"/>
        <s v="2023-11-22" u="1"/>
        <s v="2022-01-06" u="1"/>
        <s v="2022-11-26" u="1"/>
        <s v="2024-05-21" u="1"/>
        <s v="2023-06-06" u="1"/>
        <s v="2024-08-22" u="1"/>
        <s v="2023-03-18" u="1"/>
        <s v="2024-01-28" u="1"/>
        <s v="2023-06-24" u="1"/>
        <s v="2023-04-07" u="1"/>
        <s v="2024-04-04" u="1"/>
        <s v="2024-01-21" u="1"/>
        <s v="2022-10-08" u="1"/>
        <s v="2024-03-08" u="1"/>
        <s v="2022-05-14" u="1"/>
        <s v="2022-08-21" u="1"/>
        <s v="2023-10-02" u="1"/>
        <s v="2024-07-18" u="1"/>
        <s v="2023-09-20" u="1"/>
        <s v="2024-04-09" u="1"/>
        <s v="2024-06-18" u="1"/>
        <s v="2022-12-27" u="1"/>
        <s v="2023-05-02" u="1"/>
        <s v="2022-10-28" u="1"/>
        <s v="2023-03-22" u="1"/>
        <s v="2024-01-23" u="1"/>
        <s v="2023-12-31" u="1"/>
        <s v="2024-09-03" u="1"/>
        <s v="2022-06-23" u="1"/>
        <s v="2023-06-08" u="1"/>
        <s v="2024-08-02" u="1"/>
        <s v="2024-07-29" u="1"/>
        <s v="2022-02-07" u="1"/>
        <s v="2023-04-13" u="1"/>
        <s v="2024-07-22" u="1"/>
        <s v="2022-06-04" u="1"/>
        <s v="2023-02-18" u="1"/>
        <s v="2022-03-15" u="1"/>
        <s v="2024-06-01" u="1"/>
        <s v="2023-09-28" u="1"/>
        <s v="2023-06-25" u="1"/>
        <s v="2024-09-12" u="1"/>
        <s v="2023-05-20" u="1"/>
        <s v="2024-04-27" u="1"/>
        <s v="2024-04-12" u="1"/>
        <s v="2023-09-22" u="1"/>
        <s v="2023-08-02" u="1"/>
        <s v="2024-05-03" u="1"/>
        <s v="2023-01-16" u="1"/>
        <s v="2023-09-24" u="1"/>
        <s v="2024-07-23" u="1"/>
        <s v="2023-04-17" u="1"/>
        <s v="2024-05-11" u="1"/>
        <s v="2023-09-02" u="1"/>
        <s v="2023-05-19" u="1"/>
        <s v="2022-11-15" u="1"/>
        <s v="2024-05-19" u="1"/>
        <s v="2023-11-01" u="1"/>
        <s v="2022-11-30" u="1"/>
        <s v="2022-03-25" u="1"/>
        <s v="2024-09-09" u="1"/>
        <s v="2022-10-07" u="1"/>
        <s v="2023-10-13" u="1"/>
        <s v="2023-04-01" u="1"/>
        <s v="2023-06-27" u="1"/>
        <s v="2022-12-31" u="1"/>
        <s v="2024-05-22" u="1"/>
        <s v="2022-10-18" u="1"/>
        <s v="2023-09-04" u="1"/>
        <s v="2024-01-12" u="1"/>
        <s v="2022-09-23" u="1"/>
        <s v="2024-05-17" u="1"/>
        <s v="2024-06-29" u="1"/>
        <s v="2022-06-07" u="1"/>
        <s v="2023-12-29" u="1"/>
        <s v="2023-04-02" u="1"/>
        <s v="2022-12-02" u="1"/>
        <s v="2024-02-14" u="1"/>
        <s v="2023-05-30" u="1"/>
        <s v="2023-07-02" u="1"/>
        <s v="2023-07-10" u="1"/>
        <s v="2022-10-14" u="1"/>
        <s v="2022-10-16" u="1"/>
        <s v="2023-10-16" u="1"/>
        <s v="2022-01-20" u="1"/>
        <s v="2022-05-16" u="1"/>
        <s v="2022-10-15" u="1"/>
        <s v="2022-03-08" u="1"/>
        <s v="2022-07-26" u="1"/>
        <s v="2023-11-08" u="1"/>
        <s v="2024-05-13" u="1"/>
        <s v="2022-06-06" u="1"/>
        <s v="2022-03-02" u="1"/>
        <s v="2023-01-04" u="1"/>
        <s v="2024-08-23" u="1"/>
        <s v="2024-07-27" u="1"/>
        <s v="2022-12-08" u="1"/>
        <s v="2023-01-08" u="1"/>
        <s v="2024-06-17" u="1"/>
        <s v="2024-08-04" u="1"/>
        <s v="2023-11-18" u="1"/>
        <s v="2024-03-07" u="1"/>
        <s v="2024-03-29" u="1"/>
        <s v="2022-09-18" u="1"/>
        <s v="2022-10-05" u="1"/>
        <s v="2023-03-02" u="1"/>
        <s v="2023-01-01" u="1"/>
        <s v="2024-06-23" u="1"/>
        <s v="2022-05-15" u="1"/>
        <s v="2023-11-07" u="1"/>
        <s v="2022-03-01" u="1"/>
        <s v="2023-07-24" u="1"/>
        <s v="2023-01-18" u="1"/>
        <s v="2023-04-11" u="1"/>
        <s v="2023-10-12" u="1"/>
        <s v="2023-12-06" u="1"/>
        <s v="2023-04-23" u="1"/>
        <s v="2024-01-25" u="1"/>
        <s v="2024-02-07" u="1"/>
        <s v="2023-03-06" u="1"/>
        <s v="2022-07-16" u="1"/>
        <s v="2023-06-16" u="1"/>
        <s v="2024-08-07" u="1"/>
        <s v="2023-08-15" u="1"/>
        <s v="2023-09-11" u="1"/>
        <s v="2023-08-30" u="1"/>
        <s v="2024-08-26" u="1"/>
        <s v="2023-12-24" u="1"/>
        <s v="2022-05-17" u="1"/>
        <s v="2022-05-12" u="1"/>
        <s v="2024-09-21" u="1"/>
        <s v="2022-02-13" u="1"/>
        <s v="2022-12-04" u="1"/>
        <s v="2022-10-17" u="1"/>
        <s v="2023-11-17" u="1"/>
        <s v="2022-09-03" u="1"/>
        <s v="2022-05-22" u="1"/>
        <s v="2023-06-21" u="1"/>
        <s v="2022-01-30" u="1"/>
        <s v="2024-03-11" u="1"/>
        <s v="2023-02-10" u="1"/>
        <s v="2023-12-15" u="1"/>
        <s v="2022-10-26" u="1"/>
        <s v="2024-06-12" u="1"/>
        <s v="2022-06-19" u="1"/>
        <s v="2023-12-07" u="1"/>
        <s v="2022-12-15" u="1"/>
        <s v="2022-09-14" u="1"/>
        <s v="2023-09-10" u="1"/>
        <s v="2023-03-05" u="1"/>
        <s v="2022-02-04" u="1"/>
        <s v="2022-04-22" u="1"/>
        <s v="2022-03-05" u="1"/>
        <s v="2022-07-11" u="1"/>
        <s v="2022-10-27" u="1"/>
        <s v="2022-05-20" u="1"/>
        <s v="2023-06-05" u="1"/>
        <s v="2023-04-29" u="1"/>
        <s v="2022-04-21" u="1"/>
        <s v="2023-01-20" u="1"/>
        <s v="2022-07-29" u="1"/>
        <s v="2024-04-19" u="1"/>
        <s v="2023-04-12" u="1"/>
        <s v="2022-12-01" u="1"/>
        <s v="2023-09-05" u="1"/>
        <s v="2022-08-08" u="1"/>
        <s v="2022-06-16" u="1"/>
        <s v="2024-09-11" u="1"/>
        <s v="2023-12-11" u="1"/>
        <s v="2022-01-29" u="1"/>
        <s v="2022-05-23" u="1"/>
        <s v="2023-01-17" u="1"/>
        <s v="2022-11-12" u="1"/>
        <s v="2023-12-22" u="1"/>
        <s v="2024-03-26" u="1"/>
        <s v="2023-07-06" u="1"/>
        <s v="2022-01-07" u="1"/>
        <s v="2022-05-03" u="1"/>
        <s v="2023-05-10" u="1"/>
        <s v="2023-09-18" u="1"/>
        <s v="2022-09-04" u="1"/>
        <s v="2024-03-28" u="1"/>
        <s v="2024-08-13" u="1"/>
        <s v="2022-11-29" u="1"/>
        <s v="2023-08-16" u="1"/>
        <s v="2022-12-03" u="1"/>
        <s v="2023-12-02" u="1"/>
        <s v="2024-08-30" u="1"/>
        <s v="2024-09-02" u="1"/>
        <s v="2024-04-15" u="1"/>
        <s v="2022-06-18" u="1"/>
        <s v="2022-06-09" u="1"/>
        <s v="2023-06-01" u="1"/>
        <s v="2024-04-14" u="1"/>
        <s v="2024-05-30" u="1"/>
        <s v="2022-02-24" u="1"/>
        <s v="2022-06-26" u="1"/>
        <s v="2022-06-24" u="1"/>
        <s v="2022-09-02" u="1"/>
        <s v="2023-11-27" u="1"/>
        <s v="2023-04-30" u="1"/>
        <s v="2022-02-08" u="1"/>
        <s v="2023-03-16" u="1"/>
        <s v="2023-10-19" u="1"/>
        <s v="2023-01-07" u="1"/>
        <s v="2024-06-13" u="1"/>
        <s v="2023-02-21" u="1"/>
        <s v="2024-08-12" u="1"/>
        <s v="2022-04-17" u="1"/>
        <s v="2022-04-18" u="1"/>
        <s v="2024-07-21" u="1"/>
        <s v="2022-01-23" u="1"/>
        <s v="2022-02-14" u="1"/>
        <s v="2024-09-05" u="1"/>
        <s v="2022-07-15" u="1"/>
        <s v="2023-07-28" u="1"/>
        <s v="2022-12-23" u="1"/>
        <s v="2024-02-29" u="1"/>
        <s v="2023-02-14" u="1"/>
        <s v="2023-04-24" u="1"/>
        <s v="2024-08-01" u="1"/>
        <s v="2022-01-04" u="1"/>
        <s v="2024-02-17" u="1"/>
        <s v="2024-07-10" u="1"/>
        <s v="2023-11-30" u="1"/>
        <s v="2024-03-10" u="1"/>
        <s v="2023-07-22" u="1"/>
        <s v="2023-10-27" u="1"/>
        <s v="2024-02-21" u="1"/>
        <s v="2022-06-03" u="1"/>
        <s v="2023-01-11" u="1"/>
        <s v="2024-05-14" u="1"/>
        <s v="2023-11-21" u="1"/>
        <s v="2023-10-08" u="1"/>
        <s v="2023-07-04" u="1"/>
        <s v="2022-08-09" u="1"/>
        <s v="2024-01-22" u="1"/>
        <s v="2024-01-14" u="1"/>
        <s v="2023-07-20" u="1"/>
        <s v="2023-12-01" u="1"/>
        <s v="2022-08-27" u="1"/>
        <s v="2024-01-02" u="1"/>
        <s v="2024-09-25" u="1"/>
        <s v="2022-01-12" u="1"/>
        <s v="2022-03-29" u="1"/>
        <s v="2022-08-28" u="1"/>
        <s v="2023-08-06" u="1"/>
        <s v="2024-02-12" u="1"/>
        <s v="2022-11-22" u="1"/>
        <s v="2022-10-04" u="1"/>
        <s v="2024-03-23" u="1"/>
        <s v="2024-09-01" u="1"/>
        <s v="2024-01-01" u="1"/>
        <s v="2023-03-23" u="1"/>
        <s v="2022-04-16" u="1"/>
        <s v="2023-03-26" u="1"/>
        <s v="2022-02-03" u="1"/>
        <s v="2023-04-03" u="1"/>
        <s v="2023-09-26" u="1"/>
        <s v="2023-10-14" u="1"/>
        <s v="2023-05-17" u="1"/>
        <s v="2023-12-25" u="1"/>
        <s v="2022-10-25" u="1"/>
        <s v="2024-02-11" u="1"/>
        <s v="2023-12-09" u="1"/>
        <s v="2022-05-30" u="1"/>
        <s v="2024-07-01" u="1"/>
        <s v="2023-06-14" u="1"/>
        <s v="2022-06-29" u="1"/>
        <s v="2022-04-05" u="1"/>
        <s v="2023-03-14" u="1"/>
        <s v="2022-01-21" u="1"/>
        <s v="2023-01-28" u="1"/>
        <s v="2023-02-28" u="1"/>
        <s v="2022-02-26" u="1"/>
        <s v="2023-05-21" u="1"/>
        <s v="2022-03-31" u="1"/>
        <s v="2022-12-11" u="1"/>
        <s v="2023-06-22" u="1"/>
        <s v="2024-01-27" u="1"/>
        <s v="2022-05-05" u="1"/>
        <s v="2023-08-20" u="1"/>
        <s v="2024-06-10" u="1"/>
        <s v="2022-05-27" u="1"/>
        <s v="2024-06-22" u="1"/>
        <s v="2024-02-25" u="1"/>
        <s v="2022-06-08" u="1"/>
        <s v="2024-05-07" u="1"/>
        <s v="2023-02-26" u="1"/>
        <s v="2024-03-16" u="1"/>
        <s v="2023-03-17" u="1"/>
        <s v="2022-12-06" u="1"/>
        <s v="2022-07-04" u="1"/>
        <s v="2024-05-10" u="1"/>
        <s v="2022-08-04" u="1"/>
        <s v="2022-05-07" u="1"/>
        <s v="2024-05-04" u="1"/>
        <s v="2023-08-22" u="1"/>
        <s v="2022-02-23" u="1"/>
        <s v="2023-04-10" u="1"/>
        <s v="2024-04-11" u="1"/>
        <s v="2024-03-04" u="1"/>
        <s v="2022-07-14" u="1"/>
        <s v="2023-12-05" u="1"/>
        <s v="2024-09-07" u="1"/>
        <s v="2023-10-01" u="1"/>
        <s v="2024-01-26" u="1"/>
        <s v="2023-02-11" u="1"/>
        <s v="2022-06-11" u="1"/>
        <s v="2022-06-05" u="1"/>
        <s v="2024-05-29" u="1"/>
        <s v="2023-09-23" u="1"/>
        <s v="2023-07-03" u="1"/>
        <s v="2022-01-22" u="1"/>
        <s v="2022-03-10" u="1"/>
        <s v="2022-08-15" u="1"/>
        <s v="2022-05-09" u="1"/>
        <s v="2024-02-04" u="1"/>
        <s v="2022-04-26" u="1"/>
      </sharedItems>
    </cacheField>
    <cacheField name="City" numFmtId="0">
      <sharedItems/>
    </cacheField>
    <cacheField name="Employment Type" numFmtId="0">
      <sharedItems/>
    </cacheField>
    <cacheField name="Salary Band" numFmtId="0">
      <sharedItems/>
    </cacheField>
    <cacheField name="Risk_Level" numFmtId="0">
      <sharedItems count="3">
        <s v="High Risk"/>
        <s v="Low Risk"/>
        <s v="Medium Risk"/>
      </sharedItems>
    </cacheField>
  </cacheFields>
  <extLst>
    <ext xmlns:x14="http://schemas.microsoft.com/office/spreadsheetml/2009/9/main" uri="{725AE2AE-9491-48be-B2B4-4EB974FC3084}">
      <x14:pivotCacheDefinition pivotCacheId="16386694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ar gulia" refreshedDate="46088.590110069446" createdVersion="8" refreshedVersion="8" minRefreshableVersion="3" recordCount="500" xr:uid="{713294DE-5859-4970-951A-B716FD5E1947}">
  <cacheSource type="worksheet">
    <worksheetSource name="Table3"/>
  </cacheSource>
  <cacheFields count="5">
    <cacheField name="StartDate" numFmtId="14">
      <sharedItems containsSemiMixedTypes="0" containsNonDate="0" containsDate="1" containsString="0" minDate="2022-01-04T00:00:00" maxDate="2024-09-26T00:00:00" count="393">
        <d v="2023-01-27T00:00:00"/>
        <d v="2022-01-08T00:00:00"/>
        <d v="2023-05-01T00:00:00"/>
        <d v="2024-01-15T00:00:00"/>
        <d v="2024-01-24T00:00:00"/>
        <d v="2023-07-27T00:00:00"/>
        <d v="2022-12-18T00:00:00"/>
        <d v="2024-07-08T00:00:00"/>
        <d v="2024-01-30T00:00:00"/>
        <d v="2023-07-16T00:00:00"/>
        <d v="2023-10-03T00:00:00"/>
        <d v="2024-07-30T00:00:00"/>
        <d v="2023-09-25T00:00:00"/>
        <d v="2024-05-26T00:00:00"/>
        <d v="2023-10-09T00:00:00"/>
        <d v="2022-02-25T00:00:00"/>
        <d v="2024-02-05T00:00:00"/>
        <d v="2023-05-11T00:00:00"/>
        <d v="2024-04-10T00:00:00"/>
        <d v="2023-03-27T00:00:00"/>
        <d v="2023-09-27T00:00:00"/>
        <d v="2023-02-20T00:00:00"/>
        <d v="2024-09-20T00:00:00"/>
        <d v="2022-09-24T00:00:00"/>
        <d v="2024-07-15T00:00:00"/>
        <d v="2022-04-13T00:00:00"/>
        <d v="2023-01-31T00:00:00"/>
        <d v="2022-05-29T00:00:00"/>
        <d v="2023-06-09T00:00:00"/>
        <d v="2023-08-28T00:00:00"/>
        <d v="2024-05-18T00:00:00"/>
        <d v="2022-10-23T00:00:00"/>
        <d v="2023-12-21T00:00:00"/>
        <d v="2023-04-19T00:00:00"/>
        <d v="2023-06-29T00:00:00"/>
        <d v="2024-08-09T00:00:00"/>
        <d v="2022-05-21T00:00:00"/>
        <d v="2024-07-11T00:00:00"/>
        <d v="2024-02-01T00:00:00"/>
        <d v="2024-03-19T00:00:00"/>
        <d v="2024-08-21T00:00:00"/>
        <d v="2022-01-11T00:00:00"/>
        <d v="2023-08-24T00:00:00"/>
        <d v="2023-10-23T00:00:00"/>
        <d v="2023-06-18T00:00:00"/>
        <d v="2022-02-27T00:00:00"/>
        <d v="2023-07-09T00:00:00"/>
        <d v="2022-02-02T00:00:00"/>
        <d v="2022-09-08T00:00:00"/>
        <d v="2022-02-06T00:00:00"/>
        <d v="2023-12-03T00:00:00"/>
        <d v="2023-07-23T00:00:00"/>
        <d v="2023-04-22T00:00:00"/>
        <d v="2022-12-25T00:00:00"/>
        <d v="2022-11-21T00:00:00"/>
        <d v="2023-12-27T00:00:00"/>
        <d v="2022-09-19T00:00:00"/>
        <d v="2024-05-08T00:00:00"/>
        <d v="2022-06-17T00:00:00"/>
        <d v="2023-11-03T00:00:00"/>
        <d v="2022-03-22T00:00:00"/>
        <d v="2024-08-25T00:00:00"/>
        <d v="2023-08-26T00:00:00"/>
        <d v="2023-01-22T00:00:00"/>
        <d v="2023-01-21T00:00:00"/>
        <d v="2024-08-15T00:00:00"/>
        <d v="2022-07-19T00:00:00"/>
        <d v="2023-05-31T00:00:00"/>
        <d v="2022-09-09T00:00:00"/>
        <d v="2023-08-14T00:00:00"/>
        <d v="2023-09-12T00:00:00"/>
        <d v="2022-01-31T00:00:00"/>
        <d v="2024-05-05T00:00:00"/>
        <d v="2024-02-26T00:00:00"/>
        <d v="2023-11-22T00:00:00"/>
        <d v="2022-01-06T00:00:00"/>
        <d v="2022-11-26T00:00:00"/>
        <d v="2024-05-21T00:00:00"/>
        <d v="2023-06-06T00:00:00"/>
        <d v="2024-08-22T00:00:00"/>
        <d v="2023-03-18T00:00:00"/>
        <d v="2024-01-28T00:00:00"/>
        <d v="2023-06-24T00:00:00"/>
        <d v="2023-04-07T00:00:00"/>
        <d v="2024-04-04T00:00:00"/>
        <d v="2024-01-21T00:00:00"/>
        <d v="2022-10-08T00:00:00"/>
        <d v="2024-03-08T00:00:00"/>
        <d v="2022-05-14T00:00:00"/>
        <d v="2022-08-21T00:00:00"/>
        <d v="2023-10-02T00:00:00"/>
        <d v="2024-07-18T00:00:00"/>
        <d v="2023-09-20T00:00:00"/>
        <d v="2024-04-09T00:00:00"/>
        <d v="2024-06-18T00:00:00"/>
        <d v="2022-12-27T00:00:00"/>
        <d v="2023-05-02T00:00:00"/>
        <d v="2022-10-28T00:00:00"/>
        <d v="2023-03-22T00:00:00"/>
        <d v="2024-01-23T00:00:00"/>
        <d v="2023-12-31T00:00:00"/>
        <d v="2024-09-03T00:00:00"/>
        <d v="2022-06-23T00:00:00"/>
        <d v="2023-06-08T00:00:00"/>
        <d v="2024-08-02T00:00:00"/>
        <d v="2024-07-29T00:00:00"/>
        <d v="2022-02-07T00:00:00"/>
        <d v="2023-04-13T00:00:00"/>
        <d v="2024-07-22T00:00:00"/>
        <d v="2022-06-04T00:00:00"/>
        <d v="2023-02-18T00:00:00"/>
        <d v="2022-03-15T00:00:00"/>
        <d v="2024-06-01T00:00:00"/>
        <d v="2023-09-28T00:00:00"/>
        <d v="2023-06-25T00:00:00"/>
        <d v="2024-09-12T00:00:00"/>
        <d v="2023-05-20T00:00:00"/>
        <d v="2024-04-27T00:00:00"/>
        <d v="2024-04-12T00:00:00"/>
        <d v="2023-09-22T00:00:00"/>
        <d v="2023-08-02T00:00:00"/>
        <d v="2024-05-03T00:00:00"/>
        <d v="2023-01-16T00:00:00"/>
        <d v="2023-09-24T00:00:00"/>
        <d v="2024-07-23T00:00:00"/>
        <d v="2023-04-17T00:00:00"/>
        <d v="2024-05-11T00:00:00"/>
        <d v="2023-09-02T00:00:00"/>
        <d v="2023-05-19T00:00:00"/>
        <d v="2022-11-15T00:00:00"/>
        <d v="2024-05-19T00:00:00"/>
        <d v="2023-11-01T00:00:00"/>
        <d v="2022-11-30T00:00:00"/>
        <d v="2022-03-25T00:00:00"/>
        <d v="2024-09-09T00:00:00"/>
        <d v="2022-10-07T00:00:00"/>
        <d v="2023-10-13T00:00:00"/>
        <d v="2023-04-01T00:00:00"/>
        <d v="2023-06-27T00:00:00"/>
        <d v="2022-12-31T00:00:00"/>
        <d v="2024-05-22T00:00:00"/>
        <d v="2022-10-18T00:00:00"/>
        <d v="2023-09-04T00:00:00"/>
        <d v="2024-01-12T00:00:00"/>
        <d v="2022-09-23T00:00:00"/>
        <d v="2024-05-17T00:00:00"/>
        <d v="2024-06-29T00:00:00"/>
        <d v="2022-06-07T00:00:00"/>
        <d v="2023-12-29T00:00:00"/>
        <d v="2023-04-02T00:00:00"/>
        <d v="2022-12-02T00:00:00"/>
        <d v="2024-02-14T00:00:00"/>
        <d v="2023-05-30T00:00:00"/>
        <d v="2023-07-02T00:00:00"/>
        <d v="2023-07-10T00:00:00"/>
        <d v="2022-10-14T00:00:00"/>
        <d v="2022-10-16T00:00:00"/>
        <d v="2023-10-16T00:00:00"/>
        <d v="2022-01-20T00:00:00"/>
        <d v="2022-05-16T00:00:00"/>
        <d v="2022-10-15T00:00:00"/>
        <d v="2022-03-08T00:00:00"/>
        <d v="2022-07-26T00:00:00"/>
        <d v="2023-11-08T00:00:00"/>
        <d v="2024-05-13T00:00:00"/>
        <d v="2022-06-06T00:00:00"/>
        <d v="2022-03-02T00:00:00"/>
        <d v="2023-01-04T00:00:00"/>
        <d v="2024-08-23T00:00:00"/>
        <d v="2024-07-27T00:00:00"/>
        <d v="2022-12-08T00:00:00"/>
        <d v="2023-01-08T00:00:00"/>
        <d v="2024-06-17T00:00:00"/>
        <d v="2024-08-04T00:00:00"/>
        <d v="2023-11-18T00:00:00"/>
        <d v="2024-03-07T00:00:00"/>
        <d v="2024-03-29T00:00:00"/>
        <d v="2022-09-18T00:00:00"/>
        <d v="2022-10-05T00:00:00"/>
        <d v="2023-03-02T00:00:00"/>
        <d v="2023-01-01T00:00:00"/>
        <d v="2024-06-23T00:00:00"/>
        <d v="2022-05-15T00:00:00"/>
        <d v="2023-11-07T00:00:00"/>
        <d v="2022-03-01T00:00:00"/>
        <d v="2023-07-24T00:00:00"/>
        <d v="2023-01-18T00:00:00"/>
        <d v="2023-04-11T00:00:00"/>
        <d v="2023-10-12T00:00:00"/>
        <d v="2023-12-06T00:00:00"/>
        <d v="2023-04-23T00:00:00"/>
        <d v="2024-01-25T00:00:00"/>
        <d v="2024-02-07T00:00:00"/>
        <d v="2023-03-06T00:00:00"/>
        <d v="2022-07-16T00:00:00"/>
        <d v="2023-06-16T00:00:00"/>
        <d v="2024-08-07T00:00:00"/>
        <d v="2023-08-15T00:00:00"/>
        <d v="2023-09-11T00:00:00"/>
        <d v="2023-08-30T00:00:00"/>
        <d v="2024-08-26T00:00:00"/>
        <d v="2023-12-24T00:00:00"/>
        <d v="2022-05-17T00:00:00"/>
        <d v="2022-05-12T00:00:00"/>
        <d v="2024-09-21T00:00:00"/>
        <d v="2022-02-13T00:00:00"/>
        <d v="2022-12-04T00:00:00"/>
        <d v="2022-10-17T00:00:00"/>
        <d v="2023-11-17T00:00:00"/>
        <d v="2022-09-03T00:00:00"/>
        <d v="2022-05-22T00:00:00"/>
        <d v="2023-06-21T00:00:00"/>
        <d v="2022-01-30T00:00:00"/>
        <d v="2024-03-11T00:00:00"/>
        <d v="2023-02-10T00:00:00"/>
        <d v="2023-12-15T00:00:00"/>
        <d v="2022-10-26T00:00:00"/>
        <d v="2024-06-12T00:00:00"/>
        <d v="2022-06-19T00:00:00"/>
        <d v="2023-12-07T00:00:00"/>
        <d v="2022-12-15T00:00:00"/>
        <d v="2022-09-14T00:00:00"/>
        <d v="2023-09-10T00:00:00"/>
        <d v="2023-03-05T00:00:00"/>
        <d v="2022-02-04T00:00:00"/>
        <d v="2022-04-22T00:00:00"/>
        <d v="2022-03-05T00:00:00"/>
        <d v="2022-07-11T00:00:00"/>
        <d v="2022-10-27T00:00:00"/>
        <d v="2022-05-20T00:00:00"/>
        <d v="2023-06-05T00:00:00"/>
        <d v="2023-04-29T00:00:00"/>
        <d v="2022-04-21T00:00:00"/>
        <d v="2023-01-20T00:00:00"/>
        <d v="2022-07-29T00:00:00"/>
        <d v="2024-04-19T00:00:00"/>
        <d v="2023-04-12T00:00:00"/>
        <d v="2022-12-01T00:00:00"/>
        <d v="2023-09-05T00:00:00"/>
        <d v="2022-08-08T00:00:00"/>
        <d v="2022-06-16T00:00:00"/>
        <d v="2024-09-11T00:00:00"/>
        <d v="2023-12-11T00:00:00"/>
        <d v="2022-01-29T00:00:00"/>
        <d v="2022-05-23T00:00:00"/>
        <d v="2023-01-17T00:00:00"/>
        <d v="2022-11-12T00:00:00"/>
        <d v="2023-12-22T00:00:00"/>
        <d v="2024-03-26T00:00:00"/>
        <d v="2023-07-06T00:00:00"/>
        <d v="2022-01-07T00:00:00"/>
        <d v="2022-05-03T00:00:00"/>
        <d v="2023-05-10T00:00:00"/>
        <d v="2023-09-18T00:00:00"/>
        <d v="2022-09-04T00:00:00"/>
        <d v="2024-03-28T00:00:00"/>
        <d v="2024-08-13T00:00:00"/>
        <d v="2022-11-29T00:00:00"/>
        <d v="2023-08-16T00:00:00"/>
        <d v="2022-12-03T00:00:00"/>
        <d v="2023-12-02T00:00:00"/>
        <d v="2024-08-30T00:00:00"/>
        <d v="2024-09-02T00:00:00"/>
        <d v="2024-04-15T00:00:00"/>
        <d v="2022-06-18T00:00:00"/>
        <d v="2022-06-09T00:00:00"/>
        <d v="2023-06-01T00:00:00"/>
        <d v="2024-04-14T00:00:00"/>
        <d v="2024-05-30T00:00:00"/>
        <d v="2022-02-24T00:00:00"/>
        <d v="2022-06-26T00:00:00"/>
        <d v="2022-06-24T00:00:00"/>
        <d v="2022-09-02T00:00:00"/>
        <d v="2023-11-27T00:00:00"/>
        <d v="2023-04-30T00:00:00"/>
        <d v="2022-02-08T00:00:00"/>
        <d v="2023-03-16T00:00:00"/>
        <d v="2023-10-19T00:00:00"/>
        <d v="2023-01-07T00:00:00"/>
        <d v="2024-06-13T00:00:00"/>
        <d v="2023-02-21T00:00:00"/>
        <d v="2024-08-12T00:00:00"/>
        <d v="2022-04-17T00:00:00"/>
        <d v="2022-04-18T00:00:00"/>
        <d v="2024-07-21T00:00:00"/>
        <d v="2022-01-23T00:00:00"/>
        <d v="2022-02-14T00:00:00"/>
        <d v="2024-09-05T00:00:00"/>
        <d v="2022-07-15T00:00:00"/>
        <d v="2023-07-28T00:00:00"/>
        <d v="2022-12-23T00:00:00"/>
        <d v="2024-02-29T00:00:00"/>
        <d v="2023-02-14T00:00:00"/>
        <d v="2023-04-24T00:00:00"/>
        <d v="2024-08-01T00:00:00"/>
        <d v="2022-01-04T00:00:00"/>
        <d v="2024-02-17T00:00:00"/>
        <d v="2024-07-10T00:00:00"/>
        <d v="2023-11-30T00:00:00"/>
        <d v="2024-03-10T00:00:00"/>
        <d v="2023-07-22T00:00:00"/>
        <d v="2023-10-27T00:00:00"/>
        <d v="2024-02-21T00:00:00"/>
        <d v="2022-06-03T00:00:00"/>
        <d v="2023-01-11T00:00:00"/>
        <d v="2024-05-14T00:00:00"/>
        <d v="2023-11-21T00:00:00"/>
        <d v="2023-10-08T00:00:00"/>
        <d v="2023-07-04T00:00:00"/>
        <d v="2022-08-09T00:00:00"/>
        <d v="2024-01-22T00:00:00"/>
        <d v="2024-01-14T00:00:00"/>
        <d v="2023-07-20T00:00:00"/>
        <d v="2023-12-01T00:00:00"/>
        <d v="2022-08-27T00:00:00"/>
        <d v="2024-01-02T00:00:00"/>
        <d v="2024-09-25T00:00:00"/>
        <d v="2022-01-12T00:00:00"/>
        <d v="2022-03-29T00:00:00"/>
        <d v="2022-08-28T00:00:00"/>
        <d v="2023-08-06T00:00:00"/>
        <d v="2024-02-12T00:00:00"/>
        <d v="2022-11-22T00:00:00"/>
        <d v="2022-10-04T00:00:00"/>
        <d v="2024-03-23T00:00:00"/>
        <d v="2024-09-01T00:00:00"/>
        <d v="2024-01-01T00:00:00"/>
        <d v="2023-03-23T00:00:00"/>
        <d v="2022-04-16T00:00:00"/>
        <d v="2023-03-26T00:00:00"/>
        <d v="2022-02-03T00:00:00"/>
        <d v="2023-04-03T00:00:00"/>
        <d v="2023-09-26T00:00:00"/>
        <d v="2023-10-14T00:00:00"/>
        <d v="2023-05-17T00:00:00"/>
        <d v="2023-12-25T00:00:00"/>
        <d v="2022-10-25T00:00:00"/>
        <d v="2024-02-11T00:00:00"/>
        <d v="2023-12-09T00:00:00"/>
        <d v="2022-05-30T00:00:00"/>
        <d v="2024-07-01T00:00:00"/>
        <d v="2023-06-14T00:00:00"/>
        <d v="2022-06-29T00:00:00"/>
        <d v="2022-04-05T00:00:00"/>
        <d v="2023-03-14T00:00:00"/>
        <d v="2022-01-21T00:00:00"/>
        <d v="2023-01-28T00:00:00"/>
        <d v="2023-02-28T00:00:00"/>
        <d v="2022-02-26T00:00:00"/>
        <d v="2023-05-21T00:00:00"/>
        <d v="2022-03-31T00:00:00"/>
        <d v="2022-12-11T00:00:00"/>
        <d v="2023-06-22T00:00:00"/>
        <d v="2024-01-27T00:00:00"/>
        <d v="2022-05-05T00:00:00"/>
        <d v="2023-08-20T00:00:00"/>
        <d v="2024-06-10T00:00:00"/>
        <d v="2022-05-27T00:00:00"/>
        <d v="2024-06-22T00:00:00"/>
        <d v="2024-02-25T00:00:00"/>
        <d v="2022-06-08T00:00:00"/>
        <d v="2024-05-07T00:00:00"/>
        <d v="2023-02-26T00:00:00"/>
        <d v="2024-03-16T00:00:00"/>
        <d v="2023-03-17T00:00:00"/>
        <d v="2022-12-06T00:00:00"/>
        <d v="2022-07-04T00:00:00"/>
        <d v="2024-05-10T00:00:00"/>
        <d v="2022-08-04T00:00:00"/>
        <d v="2022-05-07T00:00:00"/>
        <d v="2024-05-04T00:00:00"/>
        <d v="2023-08-22T00:00:00"/>
        <d v="2022-02-23T00:00:00"/>
        <d v="2023-04-10T00:00:00"/>
        <d v="2024-04-11T00:00:00"/>
        <d v="2024-03-04T00:00:00"/>
        <d v="2022-07-14T00:00:00"/>
        <d v="2023-12-05T00:00:00"/>
        <d v="2024-09-07T00:00:00"/>
        <d v="2023-10-01T00:00:00"/>
        <d v="2024-01-26T00:00:00"/>
        <d v="2023-02-11T00:00:00"/>
        <d v="2022-06-11T00:00:00"/>
        <d v="2022-06-05T00:00:00"/>
        <d v="2024-05-29T00:00:00"/>
        <d v="2023-09-23T00:00:00"/>
        <d v="2023-07-03T00:00:00"/>
        <d v="2022-01-22T00:00:00"/>
        <d v="2022-03-10T00:00:00"/>
        <d v="2022-08-15T00:00:00"/>
        <d v="2022-05-09T00:00:00"/>
        <d v="2024-02-04T00:00:00"/>
        <d v="2022-04-26T00:00:00"/>
      </sharedItems>
      <fieldGroup par="4"/>
    </cacheField>
    <cacheField name="LoanAmount" numFmtId="0">
      <sharedItems containsSemiMixedTypes="0" containsString="0" containsNumber="1" containsInteger="1" minValue="102869" maxValue="1993034"/>
    </cacheField>
    <cacheField name="Months (StartDate)" numFmtId="0" databaseField="0">
      <fieldGroup base="0">
        <rangePr groupBy="months" startDate="2022-01-04T00:00:00" endDate="2024-09-26T00:00:00"/>
        <groupItems count="14">
          <s v="&lt;04-01-2022"/>
          <s v="Jan"/>
          <s v="Feb"/>
          <s v="Mar"/>
          <s v="Apr"/>
          <s v="May"/>
          <s v="Jun"/>
          <s v="Jul"/>
          <s v="Aug"/>
          <s v="Sep"/>
          <s v="Oct"/>
          <s v="Nov"/>
          <s v="Dec"/>
          <s v="&gt;26-09-2024"/>
        </groupItems>
      </fieldGroup>
    </cacheField>
    <cacheField name="Quarters (StartDate)" numFmtId="0" databaseField="0">
      <fieldGroup base="0">
        <rangePr groupBy="quarters" startDate="2022-01-04T00:00:00" endDate="2024-09-26T00:00:00"/>
        <groupItems count="6">
          <s v="&lt;04-01-2022"/>
          <s v="Qtr1"/>
          <s v="Qtr2"/>
          <s v="Qtr3"/>
          <s v="Qtr4"/>
          <s v="&gt;26-09-2024"/>
        </groupItems>
      </fieldGroup>
    </cacheField>
    <cacheField name="Years (StartDate)" numFmtId="0" databaseField="0">
      <fieldGroup base="0">
        <rangePr groupBy="years" startDate="2022-01-04T00:00:00" endDate="2024-09-26T00:00:00"/>
        <groupItems count="5">
          <s v="&lt;04-01-2022"/>
          <s v="2022"/>
          <s v="2023"/>
          <s v="2024"/>
          <s v="&gt;26-09-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L00001"/>
    <s v="C0174"/>
    <n v="39"/>
    <n v="40513"/>
    <n v="707284"/>
    <n v="10.82"/>
    <n v="60"/>
    <n v="515"/>
    <x v="0"/>
    <x v="0"/>
    <n v="15315"/>
    <x v="0"/>
    <x v="0"/>
    <s v="Hyderabad"/>
    <s v="Self-Employed"/>
    <s v="High"/>
    <x v="0"/>
  </r>
  <r>
    <s v="L00002"/>
    <s v="C0180"/>
    <n v="43"/>
    <n v="82375"/>
    <n v="921446"/>
    <n v="13.98"/>
    <n v="180"/>
    <n v="810"/>
    <x v="1"/>
    <x v="1"/>
    <n v="12259"/>
    <x v="1"/>
    <x v="1"/>
    <s v="Chennai"/>
    <s v="Salaried"/>
    <s v="High"/>
    <x v="1"/>
  </r>
  <r>
    <s v="L00003"/>
    <s v="C0166"/>
    <n v="40"/>
    <n v="154952"/>
    <n v="907995"/>
    <n v="8.83"/>
    <n v="12"/>
    <n v="650"/>
    <x v="1"/>
    <x v="0"/>
    <n v="79334"/>
    <x v="1"/>
    <x v="2"/>
    <s v="Pune"/>
    <s v="Business Owner"/>
    <s v="High"/>
    <x v="2"/>
  </r>
  <r>
    <s v="L00004"/>
    <s v="C0104"/>
    <n v="25"/>
    <n v="90944"/>
    <n v="449052"/>
    <n v="7.78"/>
    <n v="12"/>
    <n v="672"/>
    <x v="2"/>
    <x v="2"/>
    <n v="39017"/>
    <x v="1"/>
    <x v="3"/>
    <s v="Chennai"/>
    <s v="Business Owner"/>
    <s v="High"/>
    <x v="2"/>
  </r>
  <r>
    <s v="L00005"/>
    <s v="C0182"/>
    <n v="26"/>
    <n v="155250"/>
    <n v="1975970"/>
    <n v="8.36"/>
    <n v="180"/>
    <n v="577"/>
    <x v="3"/>
    <x v="2"/>
    <n v="19296"/>
    <x v="1"/>
    <x v="4"/>
    <s v="Delhi"/>
    <s v="Business Owner"/>
    <s v="High"/>
    <x v="0"/>
  </r>
  <r>
    <s v="L00006"/>
    <s v="C0006"/>
    <n v="35"/>
    <n v="182464"/>
    <n v="1108068"/>
    <n v="16.22"/>
    <n v="48"/>
    <n v="567"/>
    <x v="3"/>
    <x v="0"/>
    <n v="31528"/>
    <x v="2"/>
    <x v="5"/>
    <s v="Bangalore"/>
    <s v="Salaried"/>
    <s v="Medium"/>
    <x v="0"/>
  </r>
  <r>
    <s v="L00007"/>
    <s v="C0094"/>
    <n v="25"/>
    <n v="111247"/>
    <n v="464871"/>
    <n v="13.76"/>
    <n v="36"/>
    <n v="611"/>
    <x v="1"/>
    <x v="2"/>
    <n v="15834"/>
    <x v="0"/>
    <x v="6"/>
    <s v="Chennai"/>
    <s v="Self-Employed"/>
    <s v="Low"/>
    <x v="2"/>
  </r>
  <r>
    <s v="L00008"/>
    <s v="C0089"/>
    <n v="45"/>
    <n v="82621"/>
    <n v="1272571"/>
    <n v="10.42"/>
    <n v="48"/>
    <n v="798"/>
    <x v="3"/>
    <x v="3"/>
    <n v="32533"/>
    <x v="1"/>
    <x v="7"/>
    <s v="Pune"/>
    <s v="Salaried"/>
    <s v="High"/>
    <x v="1"/>
  </r>
  <r>
    <s v="L00009"/>
    <s v="C0181"/>
    <n v="39"/>
    <n v="68098"/>
    <n v="768381"/>
    <n v="10.3"/>
    <n v="24"/>
    <n v="794"/>
    <x v="0"/>
    <x v="3"/>
    <n v="35563"/>
    <x v="1"/>
    <x v="8"/>
    <s v="Delhi"/>
    <s v="Business Owner"/>
    <s v="High"/>
    <x v="1"/>
  </r>
  <r>
    <s v="L00010"/>
    <s v="C0040"/>
    <n v="25"/>
    <n v="56411"/>
    <n v="1299686"/>
    <n v="14.26"/>
    <n v="36"/>
    <n v="619"/>
    <x v="0"/>
    <x v="3"/>
    <n v="44584"/>
    <x v="1"/>
    <x v="9"/>
    <s v="Chennai"/>
    <s v="Business Owner"/>
    <s v="Low"/>
    <x v="2"/>
  </r>
  <r>
    <s v="L00011"/>
    <s v="C0003"/>
    <n v="36"/>
    <n v="80174"/>
    <n v="478994"/>
    <n v="10.15"/>
    <n v="60"/>
    <n v="839"/>
    <x v="3"/>
    <x v="0"/>
    <n v="10213"/>
    <x v="1"/>
    <x v="10"/>
    <s v="Pune"/>
    <s v="Self-Employed"/>
    <s v="Low"/>
    <x v="1"/>
  </r>
  <r>
    <s v="L00012"/>
    <s v="C0116"/>
    <n v="29"/>
    <n v="95951"/>
    <n v="737583"/>
    <n v="15.43"/>
    <n v="36"/>
    <n v="764"/>
    <x v="1"/>
    <x v="3"/>
    <n v="25724"/>
    <x v="1"/>
    <x v="11"/>
    <s v="Mumbai"/>
    <s v="Business Owner"/>
    <s v="High"/>
    <x v="1"/>
  </r>
  <r>
    <s v="L00013"/>
    <s v="C0179"/>
    <n v="49"/>
    <n v="42043"/>
    <n v="1008209"/>
    <n v="7.93"/>
    <n v="12"/>
    <n v="764"/>
    <x v="3"/>
    <x v="1"/>
    <n v="87670"/>
    <x v="1"/>
    <x v="12"/>
    <s v="Mumbai"/>
    <s v="Salaried"/>
    <s v="Low"/>
    <x v="1"/>
  </r>
  <r>
    <s v="L00014"/>
    <s v="C0073"/>
    <n v="32"/>
    <n v="116718"/>
    <n v="1013858"/>
    <n v="15.22"/>
    <n v="180"/>
    <n v="706"/>
    <x v="2"/>
    <x v="0"/>
    <n v="14343"/>
    <x v="1"/>
    <x v="13"/>
    <s v="Bangalore"/>
    <s v="Business Owner"/>
    <s v="Medium"/>
    <x v="2"/>
  </r>
  <r>
    <s v="L00015"/>
    <s v="C0150"/>
    <n v="37"/>
    <n v="55765"/>
    <n v="1380340"/>
    <n v="12.6"/>
    <n v="180"/>
    <n v="757"/>
    <x v="0"/>
    <x v="3"/>
    <n v="17103"/>
    <x v="1"/>
    <x v="14"/>
    <s v="Bangalore"/>
    <s v="Salaried"/>
    <s v="Medium"/>
    <x v="1"/>
  </r>
  <r>
    <s v="L00016"/>
    <s v="C0051"/>
    <n v="44"/>
    <n v="100181"/>
    <n v="438117"/>
    <n v="14.24"/>
    <n v="12"/>
    <n v="737"/>
    <x v="3"/>
    <x v="1"/>
    <n v="39387"/>
    <x v="1"/>
    <x v="15"/>
    <s v="Delhi"/>
    <s v="Salaried"/>
    <s v="Medium"/>
    <x v="2"/>
  </r>
  <r>
    <s v="L00017"/>
    <s v="C0029"/>
    <n v="30"/>
    <n v="53536"/>
    <n v="231401"/>
    <n v="9.49"/>
    <n v="120"/>
    <n v="760"/>
    <x v="2"/>
    <x v="3"/>
    <n v="2993"/>
    <x v="0"/>
    <x v="16"/>
    <s v="Pune"/>
    <s v="Salaried"/>
    <s v="Medium"/>
    <x v="1"/>
  </r>
  <r>
    <s v="L00018"/>
    <s v="C0157"/>
    <n v="53"/>
    <n v="183927"/>
    <n v="974216"/>
    <n v="12.27"/>
    <n v="180"/>
    <n v="584"/>
    <x v="3"/>
    <x v="2"/>
    <n v="11862"/>
    <x v="1"/>
    <x v="17"/>
    <s v="Pune"/>
    <s v="Self-Employed"/>
    <s v="Low"/>
    <x v="0"/>
  </r>
  <r>
    <s v="L00019"/>
    <s v="C0167"/>
    <n v="39"/>
    <n v="63531"/>
    <n v="1572278"/>
    <n v="14.03"/>
    <n v="240"/>
    <n v="774"/>
    <x v="2"/>
    <x v="0"/>
    <n v="19586"/>
    <x v="0"/>
    <x v="18"/>
    <s v="Pune"/>
    <s v="Business Owner"/>
    <s v="Medium"/>
    <x v="1"/>
  </r>
  <r>
    <s v="L00020"/>
    <s v="C0049"/>
    <n v="25"/>
    <n v="91120"/>
    <n v="578454"/>
    <n v="16.399999999999999"/>
    <n v="24"/>
    <n v="700"/>
    <x v="2"/>
    <x v="0"/>
    <n v="28434"/>
    <x v="1"/>
    <x v="19"/>
    <s v="Mumbai"/>
    <s v="Business Owner"/>
    <s v="Medium"/>
    <x v="2"/>
  </r>
  <r>
    <s v="L00021"/>
    <s v="C0128"/>
    <n v="42"/>
    <n v="141097"/>
    <n v="944252"/>
    <n v="10.51"/>
    <n v="60"/>
    <n v="769"/>
    <x v="2"/>
    <x v="0"/>
    <n v="20300"/>
    <x v="1"/>
    <x v="20"/>
    <s v="Delhi"/>
    <s v="Business Owner"/>
    <s v="Low"/>
    <x v="1"/>
  </r>
  <r>
    <s v="L00022"/>
    <s v="C0063"/>
    <n v="48"/>
    <n v="118278"/>
    <n v="819078"/>
    <n v="14.25"/>
    <n v="48"/>
    <n v="804"/>
    <x v="2"/>
    <x v="0"/>
    <n v="22485"/>
    <x v="1"/>
    <x v="21"/>
    <s v="Hyderabad"/>
    <s v="Business Owner"/>
    <s v="High"/>
    <x v="1"/>
  </r>
  <r>
    <s v="L00023"/>
    <s v="C0124"/>
    <n v="29"/>
    <n v="148777"/>
    <n v="240746"/>
    <n v="14.89"/>
    <n v="24"/>
    <n v="603"/>
    <x v="3"/>
    <x v="3"/>
    <n v="11660"/>
    <x v="0"/>
    <x v="22"/>
    <s v="Mumbai"/>
    <s v="Business Owner"/>
    <s v="High"/>
    <x v="2"/>
  </r>
  <r>
    <s v="L00024"/>
    <s v="C0120"/>
    <n v="35"/>
    <n v="162808"/>
    <n v="1290537"/>
    <n v="13.13"/>
    <n v="36"/>
    <n v="832"/>
    <x v="3"/>
    <x v="0"/>
    <n v="43564"/>
    <x v="1"/>
    <x v="23"/>
    <s v="Pune"/>
    <s v="Salaried"/>
    <s v="Medium"/>
    <x v="1"/>
  </r>
  <r>
    <s v="L00025"/>
    <s v="C0107"/>
    <n v="52"/>
    <n v="195392"/>
    <n v="1366755"/>
    <n v="8.58"/>
    <n v="36"/>
    <n v="672"/>
    <x v="1"/>
    <x v="0"/>
    <n v="43196"/>
    <x v="0"/>
    <x v="24"/>
    <s v="Chennai"/>
    <s v="Salaried"/>
    <s v="Medium"/>
    <x v="2"/>
  </r>
  <r>
    <s v="L00026"/>
    <s v="C0006"/>
    <n v="54"/>
    <n v="156623"/>
    <n v="169490"/>
    <n v="14.41"/>
    <n v="240"/>
    <n v="632"/>
    <x v="2"/>
    <x v="0"/>
    <n v="2158"/>
    <x v="1"/>
    <x v="25"/>
    <s v="Bangalore"/>
    <s v="Salaried"/>
    <s v="Medium"/>
    <x v="2"/>
  </r>
  <r>
    <s v="L00027"/>
    <s v="C0197"/>
    <n v="50"/>
    <n v="107123"/>
    <n v="1598000"/>
    <n v="16.45"/>
    <n v="12"/>
    <n v="488"/>
    <x v="0"/>
    <x v="0"/>
    <n v="145328"/>
    <x v="0"/>
    <x v="26"/>
    <s v="Pune"/>
    <s v="Self-Employed"/>
    <s v="Low"/>
    <x v="0"/>
  </r>
  <r>
    <s v="L00028"/>
    <s v="C0106"/>
    <n v="30"/>
    <n v="87755"/>
    <n v="1650979"/>
    <n v="10.38"/>
    <n v="24"/>
    <n v="719"/>
    <x v="0"/>
    <x v="1"/>
    <n v="76474"/>
    <x v="0"/>
    <x v="27"/>
    <s v="Mumbai"/>
    <s v="Self-Employed"/>
    <s v="High"/>
    <x v="2"/>
  </r>
  <r>
    <s v="L00029"/>
    <s v="C0169"/>
    <n v="57"/>
    <n v="161638"/>
    <n v="788928"/>
    <n v="16.5"/>
    <n v="12"/>
    <n v="616"/>
    <x v="0"/>
    <x v="0"/>
    <n v="71767"/>
    <x v="1"/>
    <x v="28"/>
    <s v="Pune"/>
    <s v="Business Owner"/>
    <s v="High"/>
    <x v="2"/>
  </r>
  <r>
    <s v="L00030"/>
    <s v="C0163"/>
    <n v="32"/>
    <n v="91357"/>
    <n v="612701"/>
    <n v="15.45"/>
    <n v="180"/>
    <n v="606"/>
    <x v="2"/>
    <x v="0"/>
    <n v="8765"/>
    <x v="0"/>
    <x v="29"/>
    <s v="Pune"/>
    <s v="Self-Employed"/>
    <s v="Medium"/>
    <x v="2"/>
  </r>
  <r>
    <s v="L00031"/>
    <s v="C0093"/>
    <n v="22"/>
    <n v="82939"/>
    <n v="1285240"/>
    <n v="13.87"/>
    <n v="180"/>
    <n v="770"/>
    <x v="0"/>
    <x v="1"/>
    <n v="17004"/>
    <x v="1"/>
    <x v="30"/>
    <s v="Delhi"/>
    <s v="Business Owner"/>
    <s v="Low"/>
    <x v="1"/>
  </r>
  <r>
    <s v="L00032"/>
    <s v="C0123"/>
    <n v="57"/>
    <n v="55345"/>
    <n v="1024105"/>
    <n v="9.58"/>
    <n v="48"/>
    <n v="693"/>
    <x v="3"/>
    <x v="0"/>
    <n v="25768"/>
    <x v="0"/>
    <x v="31"/>
    <s v="Delhi"/>
    <s v="Business Owner"/>
    <s v="High"/>
    <x v="2"/>
  </r>
  <r>
    <s v="L00033"/>
    <s v="C0096"/>
    <n v="32"/>
    <n v="39433"/>
    <n v="421968"/>
    <n v="9.93"/>
    <n v="48"/>
    <n v="503"/>
    <x v="2"/>
    <x v="0"/>
    <n v="10688"/>
    <x v="2"/>
    <x v="32"/>
    <s v="Mumbai"/>
    <s v="Salaried"/>
    <s v="Low"/>
    <x v="0"/>
  </r>
  <r>
    <s v="L00034"/>
    <s v="C0174"/>
    <n v="38"/>
    <n v="172713"/>
    <n v="211692"/>
    <n v="9.48"/>
    <n v="48"/>
    <n v="592"/>
    <x v="3"/>
    <x v="1"/>
    <n v="5316"/>
    <x v="1"/>
    <x v="33"/>
    <s v="Hyderabad"/>
    <s v="Self-Employed"/>
    <s v="High"/>
    <x v="0"/>
  </r>
  <r>
    <s v="L00035"/>
    <s v="C0144"/>
    <n v="51"/>
    <n v="114436"/>
    <n v="1284100"/>
    <n v="14.04"/>
    <n v="240"/>
    <n v="754"/>
    <x v="3"/>
    <x v="0"/>
    <n v="16005"/>
    <x v="1"/>
    <x v="34"/>
    <s v="Delhi"/>
    <s v="Business Owner"/>
    <s v="Low"/>
    <x v="1"/>
  </r>
  <r>
    <s v="L00036"/>
    <s v="C0097"/>
    <n v="26"/>
    <n v="40108"/>
    <n v="701552"/>
    <n v="15.46"/>
    <n v="36"/>
    <n v="838"/>
    <x v="3"/>
    <x v="2"/>
    <n v="24478"/>
    <x v="0"/>
    <x v="35"/>
    <s v="Delhi"/>
    <s v="Self-Employed"/>
    <s v="Medium"/>
    <x v="1"/>
  </r>
  <r>
    <s v="L00037"/>
    <s v="C0070"/>
    <n v="49"/>
    <n v="37080"/>
    <n v="468565"/>
    <n v="12.19"/>
    <n v="12"/>
    <n v="734"/>
    <x v="2"/>
    <x v="2"/>
    <n v="41673"/>
    <x v="1"/>
    <x v="36"/>
    <s v="Mumbai"/>
    <s v="Business Owner"/>
    <s v="Low"/>
    <x v="2"/>
  </r>
  <r>
    <s v="L00038"/>
    <s v="C0011"/>
    <n v="59"/>
    <n v="152134"/>
    <n v="352863"/>
    <n v="11.68"/>
    <n v="36"/>
    <n v="569"/>
    <x v="2"/>
    <x v="3"/>
    <n v="11666"/>
    <x v="1"/>
    <x v="37"/>
    <s v="Chennai"/>
    <s v="Business Owner"/>
    <s v="High"/>
    <x v="0"/>
  </r>
  <r>
    <s v="L00039"/>
    <s v="C0025"/>
    <n v="53"/>
    <n v="28153"/>
    <n v="557111"/>
    <n v="11.45"/>
    <n v="36"/>
    <n v="540"/>
    <x v="1"/>
    <x v="1"/>
    <n v="18358"/>
    <x v="1"/>
    <x v="38"/>
    <s v="Delhi"/>
    <s v="Self-Employed"/>
    <s v="High"/>
    <x v="0"/>
  </r>
  <r>
    <s v="L00040"/>
    <s v="C0197"/>
    <n v="49"/>
    <n v="141002"/>
    <n v="107787"/>
    <n v="11.47"/>
    <n v="48"/>
    <n v="554"/>
    <x v="1"/>
    <x v="1"/>
    <n v="2810"/>
    <x v="2"/>
    <x v="39"/>
    <s v="Pune"/>
    <s v="Self-Employed"/>
    <s v="Low"/>
    <x v="0"/>
  </r>
  <r>
    <s v="L00041"/>
    <s v="C0124"/>
    <n v="41"/>
    <n v="108994"/>
    <n v="327707"/>
    <n v="15.23"/>
    <n v="36"/>
    <n v="526"/>
    <x v="1"/>
    <x v="3"/>
    <n v="11397"/>
    <x v="0"/>
    <x v="40"/>
    <s v="Mumbai"/>
    <s v="Business Owner"/>
    <s v="High"/>
    <x v="0"/>
  </r>
  <r>
    <s v="L00042"/>
    <s v="C0041"/>
    <n v="57"/>
    <n v="149614"/>
    <n v="1755735"/>
    <n v="13.86"/>
    <n v="24"/>
    <n v="594"/>
    <x v="3"/>
    <x v="1"/>
    <n v="84182"/>
    <x v="0"/>
    <x v="41"/>
    <s v="Bangalore"/>
    <s v="Salaried"/>
    <s v="High"/>
    <x v="0"/>
  </r>
  <r>
    <s v="L00043"/>
    <s v="C0064"/>
    <n v="56"/>
    <n v="69672"/>
    <n v="822436"/>
    <n v="10.64"/>
    <n v="36"/>
    <n v="801"/>
    <x v="3"/>
    <x v="2"/>
    <n v="26786"/>
    <x v="1"/>
    <x v="9"/>
    <s v="Pune"/>
    <s v="Self-Employed"/>
    <s v="Low"/>
    <x v="1"/>
  </r>
  <r>
    <s v="L00044"/>
    <s v="C0059"/>
    <n v="37"/>
    <n v="73011"/>
    <n v="653849"/>
    <n v="7.95"/>
    <n v="12"/>
    <n v="685"/>
    <x v="2"/>
    <x v="0"/>
    <n v="56862"/>
    <x v="1"/>
    <x v="42"/>
    <s v="Chennai"/>
    <s v="Self-Employed"/>
    <s v="Medium"/>
    <x v="2"/>
  </r>
  <r>
    <s v="L00045"/>
    <s v="C0012"/>
    <n v="26"/>
    <n v="96624"/>
    <n v="1282169"/>
    <n v="10.67"/>
    <n v="24"/>
    <n v="554"/>
    <x v="0"/>
    <x v="0"/>
    <n v="59563"/>
    <x v="2"/>
    <x v="43"/>
    <s v="Delhi"/>
    <s v="Business Owner"/>
    <s v="High"/>
    <x v="0"/>
  </r>
  <r>
    <s v="L00046"/>
    <s v="C0097"/>
    <n v="34"/>
    <n v="130361"/>
    <n v="687223"/>
    <n v="11.11"/>
    <n v="240"/>
    <n v="568"/>
    <x v="0"/>
    <x v="3"/>
    <n v="7145"/>
    <x v="1"/>
    <x v="44"/>
    <s v="Delhi"/>
    <s v="Self-Employed"/>
    <s v="Medium"/>
    <x v="0"/>
  </r>
  <r>
    <s v="L00047"/>
    <s v="C0187"/>
    <n v="49"/>
    <n v="151062"/>
    <n v="408471"/>
    <n v="14.31"/>
    <n v="36"/>
    <n v="779"/>
    <x v="1"/>
    <x v="0"/>
    <n v="14022"/>
    <x v="1"/>
    <x v="45"/>
    <s v="Mumbai"/>
    <s v="Salaried"/>
    <s v="High"/>
    <x v="1"/>
  </r>
  <r>
    <s v="L00048"/>
    <s v="C0153"/>
    <n v="56"/>
    <n v="110085"/>
    <n v="1087093"/>
    <n v="13.55"/>
    <n v="24"/>
    <n v="804"/>
    <x v="2"/>
    <x v="0"/>
    <n v="51964"/>
    <x v="1"/>
    <x v="43"/>
    <s v="Bangalore"/>
    <s v="Self-Employed"/>
    <s v="Medium"/>
    <x v="1"/>
  </r>
  <r>
    <s v="L00049"/>
    <s v="C0163"/>
    <n v="57"/>
    <n v="108478"/>
    <n v="1592104"/>
    <n v="12.61"/>
    <n v="48"/>
    <n v="705"/>
    <x v="0"/>
    <x v="1"/>
    <n v="42405"/>
    <x v="0"/>
    <x v="46"/>
    <s v="Pune"/>
    <s v="Self-Employed"/>
    <s v="Medium"/>
    <x v="2"/>
  </r>
  <r>
    <s v="L00050"/>
    <s v="C0192"/>
    <n v="32"/>
    <n v="129974"/>
    <n v="1090875"/>
    <n v="13.74"/>
    <n v="24"/>
    <n v="631"/>
    <x v="2"/>
    <x v="0"/>
    <n v="52242"/>
    <x v="0"/>
    <x v="47"/>
    <s v="Hyderabad"/>
    <s v="Business Owner"/>
    <s v="High"/>
    <x v="2"/>
  </r>
  <r>
    <s v="L00051"/>
    <s v="C0113"/>
    <n v="43"/>
    <n v="153985"/>
    <n v="1256587"/>
    <n v="10.84"/>
    <n v="60"/>
    <n v="692"/>
    <x v="1"/>
    <x v="0"/>
    <n v="27221"/>
    <x v="1"/>
    <x v="48"/>
    <s v="Bangalore"/>
    <s v="Self-Employed"/>
    <s v="Medium"/>
    <x v="2"/>
  </r>
  <r>
    <s v="L00052"/>
    <s v="C0071"/>
    <n v="24"/>
    <n v="83460"/>
    <n v="1738995"/>
    <n v="16.350000000000001"/>
    <n v="120"/>
    <n v="641"/>
    <x v="3"/>
    <x v="2"/>
    <n v="29511"/>
    <x v="1"/>
    <x v="49"/>
    <s v="Pune"/>
    <s v="Salaried"/>
    <s v="Medium"/>
    <x v="2"/>
  </r>
  <r>
    <s v="L00053"/>
    <s v="C0083"/>
    <n v="44"/>
    <n v="72943"/>
    <n v="843138"/>
    <n v="13.93"/>
    <n v="60"/>
    <n v="664"/>
    <x v="0"/>
    <x v="0"/>
    <n v="19588"/>
    <x v="0"/>
    <x v="50"/>
    <s v="Hyderabad"/>
    <s v="Self-Employed"/>
    <s v="Low"/>
    <x v="2"/>
  </r>
  <r>
    <s v="L00054"/>
    <s v="C0146"/>
    <n v="32"/>
    <n v="118460"/>
    <n v="1697647"/>
    <n v="12.99"/>
    <n v="240"/>
    <n v="597"/>
    <x v="3"/>
    <x v="0"/>
    <n v="19877"/>
    <x v="1"/>
    <x v="51"/>
    <s v="Delhi"/>
    <s v="Salaried"/>
    <s v="Low"/>
    <x v="0"/>
  </r>
  <r>
    <s v="L00055"/>
    <s v="C0052"/>
    <n v="24"/>
    <n v="37954"/>
    <n v="1623049"/>
    <n v="15.86"/>
    <n v="48"/>
    <n v="451"/>
    <x v="3"/>
    <x v="2"/>
    <n v="45881"/>
    <x v="2"/>
    <x v="52"/>
    <s v="Bangalore"/>
    <s v="Salaried"/>
    <s v="Medium"/>
    <x v="0"/>
  </r>
  <r>
    <s v="L00056"/>
    <s v="C0141"/>
    <n v="48"/>
    <n v="121176"/>
    <n v="113713"/>
    <n v="16.350000000000001"/>
    <n v="60"/>
    <n v="656"/>
    <x v="0"/>
    <x v="0"/>
    <n v="2786"/>
    <x v="1"/>
    <x v="53"/>
    <s v="Mumbai"/>
    <s v="Business Owner"/>
    <s v="Medium"/>
    <x v="2"/>
  </r>
  <r>
    <s v="L00057"/>
    <s v="C0195"/>
    <n v="32"/>
    <n v="83634"/>
    <n v="1950163"/>
    <n v="14.79"/>
    <n v="180"/>
    <n v="534"/>
    <x v="0"/>
    <x v="2"/>
    <n v="27014"/>
    <x v="0"/>
    <x v="52"/>
    <s v="Pune"/>
    <s v="Self-Employed"/>
    <s v="Medium"/>
    <x v="0"/>
  </r>
  <r>
    <s v="L00058"/>
    <s v="C0125"/>
    <n v="31"/>
    <n v="146154"/>
    <n v="928877"/>
    <n v="11.52"/>
    <n v="240"/>
    <n v="461"/>
    <x v="3"/>
    <x v="1"/>
    <n v="9919"/>
    <x v="0"/>
    <x v="54"/>
    <s v="Mumbai"/>
    <s v="Salaried"/>
    <s v="Medium"/>
    <x v="0"/>
  </r>
  <r>
    <s v="L00059"/>
    <s v="C0134"/>
    <n v="42"/>
    <n v="49370"/>
    <n v="1068679"/>
    <n v="11.6"/>
    <n v="180"/>
    <n v="796"/>
    <x v="0"/>
    <x v="2"/>
    <n v="12552"/>
    <x v="1"/>
    <x v="55"/>
    <s v="Bangalore"/>
    <s v="Self-Employed"/>
    <s v="Medium"/>
    <x v="1"/>
  </r>
  <r>
    <s v="L00060"/>
    <s v="C0113"/>
    <n v="34"/>
    <n v="166800"/>
    <n v="1553080"/>
    <n v="11.49"/>
    <n v="120"/>
    <n v="763"/>
    <x v="0"/>
    <x v="1"/>
    <n v="21827"/>
    <x v="0"/>
    <x v="56"/>
    <s v="Bangalore"/>
    <s v="Self-Employed"/>
    <s v="Medium"/>
    <x v="1"/>
  </r>
  <r>
    <s v="L00061"/>
    <s v="C0150"/>
    <n v="43"/>
    <n v="103869"/>
    <n v="735401"/>
    <n v="14.35"/>
    <n v="240"/>
    <n v="801"/>
    <x v="3"/>
    <x v="2"/>
    <n v="9332"/>
    <x v="0"/>
    <x v="57"/>
    <s v="Bangalore"/>
    <s v="Salaried"/>
    <s v="Medium"/>
    <x v="1"/>
  </r>
  <r>
    <s v="L00062"/>
    <s v="C0130"/>
    <n v="55"/>
    <n v="81883"/>
    <n v="1136919"/>
    <n v="15.59"/>
    <n v="48"/>
    <n v="717"/>
    <x v="3"/>
    <x v="2"/>
    <n v="31982"/>
    <x v="1"/>
    <x v="58"/>
    <s v="Mumbai"/>
    <s v="Self-Employed"/>
    <s v="Low"/>
    <x v="2"/>
  </r>
  <r>
    <s v="L00063"/>
    <s v="C0027"/>
    <n v="55"/>
    <n v="169332"/>
    <n v="1285387"/>
    <n v="9.0500000000000007"/>
    <n v="120"/>
    <n v="769"/>
    <x v="2"/>
    <x v="1"/>
    <n v="16318"/>
    <x v="0"/>
    <x v="59"/>
    <s v="Delhi"/>
    <s v="Self-Employed"/>
    <s v="Low"/>
    <x v="1"/>
  </r>
  <r>
    <s v="L00064"/>
    <s v="C0180"/>
    <n v="39"/>
    <n v="54385"/>
    <n v="421149"/>
    <n v="12.51"/>
    <n v="48"/>
    <n v="511"/>
    <x v="3"/>
    <x v="0"/>
    <n v="11196"/>
    <x v="1"/>
    <x v="60"/>
    <s v="Chennai"/>
    <s v="Salaried"/>
    <s v="High"/>
    <x v="0"/>
  </r>
  <r>
    <s v="L00065"/>
    <s v="C0145"/>
    <n v="24"/>
    <n v="48895"/>
    <n v="1922049"/>
    <n v="9.5399999999999991"/>
    <n v="180"/>
    <n v="482"/>
    <x v="1"/>
    <x v="3"/>
    <n v="20117"/>
    <x v="2"/>
    <x v="61"/>
    <s v="Chennai"/>
    <s v="Salaried"/>
    <s v="Low"/>
    <x v="0"/>
  </r>
  <r>
    <s v="L00066"/>
    <s v="C0036"/>
    <n v="29"/>
    <n v="106437"/>
    <n v="271973"/>
    <n v="12.11"/>
    <n v="36"/>
    <n v="693"/>
    <x v="2"/>
    <x v="1"/>
    <n v="9048"/>
    <x v="1"/>
    <x v="62"/>
    <s v="Mumbai"/>
    <s v="Salaried"/>
    <s v="Low"/>
    <x v="2"/>
  </r>
  <r>
    <s v="L00067"/>
    <s v="C0019"/>
    <n v="36"/>
    <n v="74709"/>
    <n v="1897861"/>
    <n v="8.91"/>
    <n v="48"/>
    <n v="694"/>
    <x v="1"/>
    <x v="0"/>
    <n v="47147"/>
    <x v="0"/>
    <x v="63"/>
    <s v="Chennai"/>
    <s v="Self-Employed"/>
    <s v="Low"/>
    <x v="2"/>
  </r>
  <r>
    <s v="L00068"/>
    <s v="C0111"/>
    <n v="35"/>
    <n v="154078"/>
    <n v="959988"/>
    <n v="12.92"/>
    <n v="48"/>
    <n v="688"/>
    <x v="0"/>
    <x v="1"/>
    <n v="25716"/>
    <x v="0"/>
    <x v="64"/>
    <s v="Bangalore"/>
    <s v="Self-Employed"/>
    <s v="High"/>
    <x v="2"/>
  </r>
  <r>
    <s v="L00069"/>
    <s v="C0067"/>
    <n v="45"/>
    <n v="93490"/>
    <n v="1678621"/>
    <n v="15.55"/>
    <n v="120"/>
    <n v="792"/>
    <x v="2"/>
    <x v="0"/>
    <n v="27650"/>
    <x v="1"/>
    <x v="65"/>
    <s v="Delhi"/>
    <s v="Salaried"/>
    <s v="Low"/>
    <x v="1"/>
  </r>
  <r>
    <s v="L00070"/>
    <s v="C0045"/>
    <n v="54"/>
    <n v="38720"/>
    <n v="745816"/>
    <n v="13.3"/>
    <n v="48"/>
    <n v="774"/>
    <x v="2"/>
    <x v="2"/>
    <n v="20120"/>
    <x v="0"/>
    <x v="66"/>
    <s v="Pune"/>
    <s v="Self-Employed"/>
    <s v="Medium"/>
    <x v="1"/>
  </r>
  <r>
    <s v="L00071"/>
    <s v="C0197"/>
    <n v="38"/>
    <n v="69028"/>
    <n v="1975222"/>
    <n v="14.77"/>
    <n v="36"/>
    <n v="628"/>
    <x v="3"/>
    <x v="3"/>
    <n v="68249"/>
    <x v="0"/>
    <x v="67"/>
    <s v="Pune"/>
    <s v="Self-Employed"/>
    <s v="Low"/>
    <x v="2"/>
  </r>
  <r>
    <s v="L00072"/>
    <s v="C0020"/>
    <n v="33"/>
    <n v="171451"/>
    <n v="1618340"/>
    <n v="10.11"/>
    <n v="48"/>
    <n v="565"/>
    <x v="3"/>
    <x v="2"/>
    <n v="41131"/>
    <x v="1"/>
    <x v="68"/>
    <s v="Bangalore"/>
    <s v="Business Owner"/>
    <s v="High"/>
    <x v="0"/>
  </r>
  <r>
    <s v="L00073"/>
    <s v="C0030"/>
    <n v="42"/>
    <n v="143979"/>
    <n v="1104492"/>
    <n v="12.39"/>
    <n v="24"/>
    <n v="618"/>
    <x v="2"/>
    <x v="2"/>
    <n v="52194"/>
    <x v="0"/>
    <x v="69"/>
    <s v="Chennai"/>
    <s v="Self-Employed"/>
    <s v="High"/>
    <x v="2"/>
  </r>
  <r>
    <s v="L00074"/>
    <s v="C0165"/>
    <n v="23"/>
    <n v="181854"/>
    <n v="1846110"/>
    <n v="15.61"/>
    <n v="240"/>
    <n v="591"/>
    <x v="3"/>
    <x v="0"/>
    <n v="25145"/>
    <x v="0"/>
    <x v="70"/>
    <s v="Chennai"/>
    <s v="Business Owner"/>
    <s v="Low"/>
    <x v="0"/>
  </r>
  <r>
    <s v="L00075"/>
    <s v="C0150"/>
    <n v="49"/>
    <n v="182989"/>
    <n v="1360355"/>
    <n v="15"/>
    <n v="24"/>
    <n v="789"/>
    <x v="1"/>
    <x v="2"/>
    <n v="65959"/>
    <x v="0"/>
    <x v="71"/>
    <s v="Bangalore"/>
    <s v="Salaried"/>
    <s v="Medium"/>
    <x v="1"/>
  </r>
  <r>
    <s v="L00076"/>
    <s v="C0146"/>
    <n v="34"/>
    <n v="170430"/>
    <n v="682799"/>
    <n v="7.64"/>
    <n v="24"/>
    <n v="652"/>
    <x v="2"/>
    <x v="2"/>
    <n v="30769"/>
    <x v="1"/>
    <x v="72"/>
    <s v="Delhi"/>
    <s v="Salaried"/>
    <s v="Low"/>
    <x v="2"/>
  </r>
  <r>
    <s v="L00077"/>
    <s v="C0058"/>
    <n v="39"/>
    <n v="53281"/>
    <n v="1445450"/>
    <n v="11.87"/>
    <n v="36"/>
    <n v="754"/>
    <x v="1"/>
    <x v="3"/>
    <n v="47920"/>
    <x v="1"/>
    <x v="73"/>
    <s v="Hyderabad"/>
    <s v="Self-Employed"/>
    <s v="Low"/>
    <x v="1"/>
  </r>
  <r>
    <s v="L00078"/>
    <s v="C0032"/>
    <n v="45"/>
    <n v="167891"/>
    <n v="1260430"/>
    <n v="11.76"/>
    <n v="120"/>
    <n v="742"/>
    <x v="1"/>
    <x v="2"/>
    <n v="17909"/>
    <x v="0"/>
    <x v="74"/>
    <s v="Pune"/>
    <s v="Salaried"/>
    <s v="High"/>
    <x v="2"/>
  </r>
  <r>
    <s v="L00079"/>
    <s v="C0155"/>
    <n v="55"/>
    <n v="94829"/>
    <n v="545643"/>
    <n v="14.4"/>
    <n v="180"/>
    <n v="551"/>
    <x v="1"/>
    <x v="1"/>
    <n v="7414"/>
    <x v="1"/>
    <x v="75"/>
    <s v="Hyderabad"/>
    <s v="Salaried"/>
    <s v="Medium"/>
    <x v="0"/>
  </r>
  <r>
    <s v="L00080"/>
    <s v="C0116"/>
    <n v="25"/>
    <n v="159963"/>
    <n v="1188200"/>
    <n v="11.12"/>
    <n v="180"/>
    <n v="636"/>
    <x v="3"/>
    <x v="1"/>
    <n v="13595"/>
    <x v="0"/>
    <x v="76"/>
    <s v="Mumbai"/>
    <s v="Business Owner"/>
    <s v="High"/>
    <x v="2"/>
  </r>
  <r>
    <s v="L00081"/>
    <s v="C0123"/>
    <n v="53"/>
    <n v="129805"/>
    <n v="1804698"/>
    <n v="9.64"/>
    <n v="12"/>
    <n v="502"/>
    <x v="3"/>
    <x v="0"/>
    <n v="158360"/>
    <x v="1"/>
    <x v="77"/>
    <s v="Delhi"/>
    <s v="Business Owner"/>
    <s v="High"/>
    <x v="0"/>
  </r>
  <r>
    <s v="L00082"/>
    <s v="C0036"/>
    <n v="46"/>
    <n v="120411"/>
    <n v="444362"/>
    <n v="9.84"/>
    <n v="120"/>
    <n v="637"/>
    <x v="2"/>
    <x v="3"/>
    <n v="5833"/>
    <x v="1"/>
    <x v="78"/>
    <s v="Mumbai"/>
    <s v="Salaried"/>
    <s v="Low"/>
    <x v="2"/>
  </r>
  <r>
    <s v="L00083"/>
    <s v="C0123"/>
    <n v="24"/>
    <n v="94525"/>
    <n v="1573107"/>
    <n v="14.41"/>
    <n v="24"/>
    <n v="476"/>
    <x v="0"/>
    <x v="2"/>
    <n v="75834"/>
    <x v="0"/>
    <x v="37"/>
    <s v="Delhi"/>
    <s v="Business Owner"/>
    <s v="High"/>
    <x v="0"/>
  </r>
  <r>
    <s v="L00084"/>
    <s v="C0116"/>
    <n v="42"/>
    <n v="106331"/>
    <n v="783594"/>
    <n v="15.79"/>
    <n v="36"/>
    <n v="833"/>
    <x v="3"/>
    <x v="0"/>
    <n v="27468"/>
    <x v="1"/>
    <x v="79"/>
    <s v="Mumbai"/>
    <s v="Business Owner"/>
    <s v="High"/>
    <x v="1"/>
  </r>
  <r>
    <s v="L00085"/>
    <s v="C0047"/>
    <n v="28"/>
    <n v="26076"/>
    <n v="244701"/>
    <n v="15.15"/>
    <n v="36"/>
    <n v="712"/>
    <x v="1"/>
    <x v="2"/>
    <n v="8501"/>
    <x v="0"/>
    <x v="80"/>
    <s v="Chennai"/>
    <s v="Self-Employed"/>
    <s v="High"/>
    <x v="2"/>
  </r>
  <r>
    <s v="L00086"/>
    <s v="C0129"/>
    <n v="23"/>
    <n v="29406"/>
    <n v="286061"/>
    <n v="9.51"/>
    <n v="12"/>
    <n v="462"/>
    <x v="2"/>
    <x v="3"/>
    <n v="25084"/>
    <x v="2"/>
    <x v="81"/>
    <s v="Delhi"/>
    <s v="Business Owner"/>
    <s v="Low"/>
    <x v="0"/>
  </r>
  <r>
    <s v="L00087"/>
    <s v="C0198"/>
    <n v="29"/>
    <n v="124974"/>
    <n v="758174"/>
    <n v="15.16"/>
    <n v="180"/>
    <n v="512"/>
    <x v="0"/>
    <x v="0"/>
    <n v="10695"/>
    <x v="1"/>
    <x v="82"/>
    <s v="Bangalore"/>
    <s v="Salaried"/>
    <s v="Medium"/>
    <x v="0"/>
  </r>
  <r>
    <s v="L00088"/>
    <s v="C0080"/>
    <n v="43"/>
    <n v="149959"/>
    <n v="1197181"/>
    <n v="7.58"/>
    <n v="240"/>
    <n v="804"/>
    <x v="1"/>
    <x v="2"/>
    <n v="9703"/>
    <x v="1"/>
    <x v="83"/>
    <s v="Mumbai"/>
    <s v="Business Owner"/>
    <s v="High"/>
    <x v="1"/>
  </r>
  <r>
    <s v="L00089"/>
    <s v="C0106"/>
    <n v="52"/>
    <n v="51328"/>
    <n v="290152"/>
    <n v="12.48"/>
    <n v="36"/>
    <n v="636"/>
    <x v="1"/>
    <x v="0"/>
    <n v="9704"/>
    <x v="1"/>
    <x v="84"/>
    <s v="Mumbai"/>
    <s v="Self-Employed"/>
    <s v="High"/>
    <x v="2"/>
  </r>
  <r>
    <s v="L00090"/>
    <s v="C0056"/>
    <n v="40"/>
    <n v="92330"/>
    <n v="1592535"/>
    <n v="12.71"/>
    <n v="60"/>
    <n v="836"/>
    <x v="0"/>
    <x v="1"/>
    <n v="35999"/>
    <x v="1"/>
    <x v="85"/>
    <s v="Chennai"/>
    <s v="Self-Employed"/>
    <s v="Medium"/>
    <x v="1"/>
  </r>
  <r>
    <s v="L00091"/>
    <s v="C0094"/>
    <n v="51"/>
    <n v="102365"/>
    <n v="1727854"/>
    <n v="10.27"/>
    <n v="120"/>
    <n v="625"/>
    <x v="3"/>
    <x v="3"/>
    <n v="23093"/>
    <x v="1"/>
    <x v="86"/>
    <s v="Chennai"/>
    <s v="Self-Employed"/>
    <s v="Low"/>
    <x v="2"/>
  </r>
  <r>
    <s v="L00092"/>
    <s v="C0015"/>
    <n v="30"/>
    <n v="180167"/>
    <n v="750234"/>
    <n v="15.16"/>
    <n v="120"/>
    <n v="695"/>
    <x v="0"/>
    <x v="0"/>
    <n v="12178"/>
    <x v="1"/>
    <x v="87"/>
    <s v="Delhi"/>
    <s v="Salaried"/>
    <s v="High"/>
    <x v="2"/>
  </r>
  <r>
    <s v="L00093"/>
    <s v="C0118"/>
    <n v="59"/>
    <n v="121518"/>
    <n v="926951"/>
    <n v="10.78"/>
    <n v="12"/>
    <n v="774"/>
    <x v="1"/>
    <x v="0"/>
    <n v="81830"/>
    <x v="1"/>
    <x v="88"/>
    <s v="Chennai"/>
    <s v="Business Owner"/>
    <s v="Medium"/>
    <x v="1"/>
  </r>
  <r>
    <s v="L00094"/>
    <s v="C0116"/>
    <n v="57"/>
    <n v="73337"/>
    <n v="826874"/>
    <n v="15.23"/>
    <n v="48"/>
    <n v="719"/>
    <x v="0"/>
    <x v="1"/>
    <n v="23109"/>
    <x v="0"/>
    <x v="89"/>
    <s v="Mumbai"/>
    <s v="Business Owner"/>
    <s v="High"/>
    <x v="2"/>
  </r>
  <r>
    <s v="L00095"/>
    <s v="C0198"/>
    <n v="28"/>
    <n v="103352"/>
    <n v="218137"/>
    <n v="15.49"/>
    <n v="48"/>
    <n v="757"/>
    <x v="1"/>
    <x v="3"/>
    <n v="6125"/>
    <x v="0"/>
    <x v="90"/>
    <s v="Bangalore"/>
    <s v="Salaried"/>
    <s v="Medium"/>
    <x v="1"/>
  </r>
  <r>
    <s v="L00096"/>
    <s v="C0112"/>
    <n v="24"/>
    <n v="98736"/>
    <n v="206167"/>
    <n v="11.82"/>
    <n v="180"/>
    <n v="609"/>
    <x v="3"/>
    <x v="2"/>
    <n v="2451"/>
    <x v="1"/>
    <x v="91"/>
    <s v="Chennai"/>
    <s v="Business Owner"/>
    <s v="Medium"/>
    <x v="2"/>
  </r>
  <r>
    <s v="L00097"/>
    <s v="C0108"/>
    <n v="28"/>
    <n v="190811"/>
    <n v="1793714"/>
    <n v="14.94"/>
    <n v="36"/>
    <n v="684"/>
    <x v="3"/>
    <x v="0"/>
    <n v="62127"/>
    <x v="1"/>
    <x v="92"/>
    <s v="Delhi"/>
    <s v="Self-Employed"/>
    <s v="Low"/>
    <x v="2"/>
  </r>
  <r>
    <s v="L00098"/>
    <s v="C0160"/>
    <n v="57"/>
    <n v="119600"/>
    <n v="969481"/>
    <n v="13.51"/>
    <n v="240"/>
    <n v="823"/>
    <x v="3"/>
    <x v="3"/>
    <n v="11712"/>
    <x v="0"/>
    <x v="93"/>
    <s v="Delhi"/>
    <s v="Business Owner"/>
    <s v="High"/>
    <x v="1"/>
  </r>
  <r>
    <s v="L00099"/>
    <s v="C0120"/>
    <n v="46"/>
    <n v="80067"/>
    <n v="370753"/>
    <n v="12.13"/>
    <n v="12"/>
    <n v="512"/>
    <x v="2"/>
    <x v="0"/>
    <n v="32964"/>
    <x v="2"/>
    <x v="94"/>
    <s v="Pune"/>
    <s v="Salaried"/>
    <s v="Medium"/>
    <x v="0"/>
  </r>
  <r>
    <s v="L00100"/>
    <s v="C0196"/>
    <n v="60"/>
    <n v="101664"/>
    <n v="1765973"/>
    <n v="7.88"/>
    <n v="240"/>
    <n v="461"/>
    <x v="1"/>
    <x v="2"/>
    <n v="14640"/>
    <x v="2"/>
    <x v="95"/>
    <s v="Pune"/>
    <s v="Business Owner"/>
    <s v="Medium"/>
    <x v="0"/>
  </r>
  <r>
    <s v="L00101"/>
    <s v="C0113"/>
    <n v="40"/>
    <n v="59077"/>
    <n v="462171"/>
    <n v="12.12"/>
    <n v="12"/>
    <n v="714"/>
    <x v="2"/>
    <x v="0"/>
    <n v="41089"/>
    <x v="0"/>
    <x v="96"/>
    <s v="Bangalore"/>
    <s v="Self-Employed"/>
    <s v="Medium"/>
    <x v="2"/>
  </r>
  <r>
    <s v="L00102"/>
    <s v="C0096"/>
    <n v="60"/>
    <n v="67174"/>
    <n v="469767"/>
    <n v="9.1300000000000008"/>
    <n v="12"/>
    <n v="602"/>
    <x v="1"/>
    <x v="2"/>
    <n v="41110"/>
    <x v="1"/>
    <x v="97"/>
    <s v="Mumbai"/>
    <s v="Salaried"/>
    <s v="Low"/>
    <x v="2"/>
  </r>
  <r>
    <s v="L00103"/>
    <s v="C0035"/>
    <n v="44"/>
    <n v="109059"/>
    <n v="560511"/>
    <n v="7.94"/>
    <n v="48"/>
    <n v="804"/>
    <x v="0"/>
    <x v="0"/>
    <n v="13668"/>
    <x v="1"/>
    <x v="98"/>
    <s v="Delhi"/>
    <s v="Business Owner"/>
    <s v="Low"/>
    <x v="1"/>
  </r>
  <r>
    <s v="L00104"/>
    <s v="C0014"/>
    <n v="46"/>
    <n v="125615"/>
    <n v="738392"/>
    <n v="9.49"/>
    <n v="180"/>
    <n v="657"/>
    <x v="0"/>
    <x v="3"/>
    <n v="7706"/>
    <x v="1"/>
    <x v="99"/>
    <s v="Mumbai"/>
    <s v="Salaried"/>
    <s v="Low"/>
    <x v="2"/>
  </r>
  <r>
    <s v="L00105"/>
    <s v="C0106"/>
    <n v="32"/>
    <n v="33019"/>
    <n v="259144"/>
    <n v="9.68"/>
    <n v="120"/>
    <n v="486"/>
    <x v="1"/>
    <x v="2"/>
    <n v="3379"/>
    <x v="0"/>
    <x v="100"/>
    <s v="Mumbai"/>
    <s v="Self-Employed"/>
    <s v="High"/>
    <x v="0"/>
  </r>
  <r>
    <s v="L00106"/>
    <s v="C0186"/>
    <n v="48"/>
    <n v="153271"/>
    <n v="315753"/>
    <n v="12.31"/>
    <n v="48"/>
    <n v="616"/>
    <x v="2"/>
    <x v="0"/>
    <n v="8363"/>
    <x v="1"/>
    <x v="101"/>
    <s v="Hyderabad"/>
    <s v="Salaried"/>
    <s v="High"/>
    <x v="2"/>
  </r>
  <r>
    <s v="L00107"/>
    <s v="C0077"/>
    <n v="33"/>
    <n v="175315"/>
    <n v="1220533"/>
    <n v="15.99"/>
    <n v="24"/>
    <n v="573"/>
    <x v="0"/>
    <x v="3"/>
    <n v="59755"/>
    <x v="2"/>
    <x v="102"/>
    <s v="Chennai"/>
    <s v="Business Owner"/>
    <s v="High"/>
    <x v="0"/>
  </r>
  <r>
    <s v="L00108"/>
    <s v="C0050"/>
    <n v="55"/>
    <n v="192262"/>
    <n v="1246143"/>
    <n v="8.08"/>
    <n v="240"/>
    <n v="492"/>
    <x v="2"/>
    <x v="0"/>
    <n v="10485"/>
    <x v="1"/>
    <x v="74"/>
    <s v="Pune"/>
    <s v="Business Owner"/>
    <s v="Low"/>
    <x v="0"/>
  </r>
  <r>
    <s v="L00109"/>
    <s v="C0092"/>
    <n v="47"/>
    <n v="158964"/>
    <n v="163591"/>
    <n v="7.72"/>
    <n v="240"/>
    <n v="830"/>
    <x v="0"/>
    <x v="0"/>
    <n v="1340"/>
    <x v="1"/>
    <x v="103"/>
    <s v="Chennai"/>
    <s v="Business Owner"/>
    <s v="Medium"/>
    <x v="1"/>
  </r>
  <r>
    <s v="L00110"/>
    <s v="C0053"/>
    <n v="29"/>
    <n v="127109"/>
    <n v="1622913"/>
    <n v="8.8000000000000007"/>
    <n v="12"/>
    <n v="766"/>
    <x v="1"/>
    <x v="3"/>
    <n v="141776"/>
    <x v="1"/>
    <x v="104"/>
    <s v="Pune"/>
    <s v="Salaried"/>
    <s v="Low"/>
    <x v="1"/>
  </r>
  <r>
    <s v="L00111"/>
    <s v="C0106"/>
    <n v="22"/>
    <n v="197842"/>
    <n v="1828229"/>
    <n v="12.75"/>
    <n v="120"/>
    <n v="615"/>
    <x v="1"/>
    <x v="3"/>
    <n v="27029"/>
    <x v="1"/>
    <x v="105"/>
    <s v="Mumbai"/>
    <s v="Self-Employed"/>
    <s v="High"/>
    <x v="2"/>
  </r>
  <r>
    <s v="L00112"/>
    <s v="C0130"/>
    <n v="39"/>
    <n v="188631"/>
    <n v="904017"/>
    <n v="10.66"/>
    <n v="24"/>
    <n v="777"/>
    <x v="2"/>
    <x v="0"/>
    <n v="41992"/>
    <x v="1"/>
    <x v="106"/>
    <s v="Mumbai"/>
    <s v="Self-Employed"/>
    <s v="Low"/>
    <x v="1"/>
  </r>
  <r>
    <s v="L00113"/>
    <s v="C0096"/>
    <n v="27"/>
    <n v="121948"/>
    <n v="958995"/>
    <n v="13.2"/>
    <n v="36"/>
    <n v="626"/>
    <x v="2"/>
    <x v="3"/>
    <n v="32405"/>
    <x v="1"/>
    <x v="107"/>
    <s v="Mumbai"/>
    <s v="Salaried"/>
    <s v="Low"/>
    <x v="2"/>
  </r>
  <r>
    <s v="L00114"/>
    <s v="C0129"/>
    <n v="36"/>
    <n v="174247"/>
    <n v="432766"/>
    <n v="12.23"/>
    <n v="60"/>
    <n v="778"/>
    <x v="1"/>
    <x v="1"/>
    <n v="9677"/>
    <x v="1"/>
    <x v="108"/>
    <s v="Delhi"/>
    <s v="Business Owner"/>
    <s v="Low"/>
    <x v="1"/>
  </r>
  <r>
    <s v="L00115"/>
    <s v="C0103"/>
    <n v="43"/>
    <n v="177892"/>
    <n v="648924"/>
    <n v="8.11"/>
    <n v="60"/>
    <n v="573"/>
    <x v="2"/>
    <x v="2"/>
    <n v="13192"/>
    <x v="1"/>
    <x v="109"/>
    <s v="Hyderabad"/>
    <s v="Business Owner"/>
    <s v="Low"/>
    <x v="0"/>
  </r>
  <r>
    <s v="L00116"/>
    <s v="C0187"/>
    <n v="48"/>
    <n v="132471"/>
    <n v="1828567"/>
    <n v="10.64"/>
    <n v="180"/>
    <n v="752"/>
    <x v="2"/>
    <x v="3"/>
    <n v="20372"/>
    <x v="0"/>
    <x v="110"/>
    <s v="Mumbai"/>
    <s v="Salaried"/>
    <s v="High"/>
    <x v="1"/>
  </r>
  <r>
    <s v="L00117"/>
    <s v="C0002"/>
    <n v="53"/>
    <n v="176014"/>
    <n v="1063906"/>
    <n v="7.72"/>
    <n v="12"/>
    <n v="706"/>
    <x v="0"/>
    <x v="1"/>
    <n v="92410"/>
    <x v="0"/>
    <x v="111"/>
    <s v="Delhi"/>
    <s v="Salaried"/>
    <s v="High"/>
    <x v="2"/>
  </r>
  <r>
    <s v="L00118"/>
    <s v="C0137"/>
    <n v="31"/>
    <n v="125990"/>
    <n v="1453273"/>
    <n v="16.309999999999999"/>
    <n v="60"/>
    <n v="722"/>
    <x v="2"/>
    <x v="2"/>
    <n v="35581"/>
    <x v="1"/>
    <x v="112"/>
    <s v="Bangalore"/>
    <s v="Salaried"/>
    <s v="Medium"/>
    <x v="2"/>
  </r>
  <r>
    <s v="L00119"/>
    <s v="C0124"/>
    <n v="22"/>
    <n v="150944"/>
    <n v="1289902"/>
    <n v="11.86"/>
    <n v="48"/>
    <n v="492"/>
    <x v="0"/>
    <x v="0"/>
    <n v="33879"/>
    <x v="1"/>
    <x v="113"/>
    <s v="Mumbai"/>
    <s v="Business Owner"/>
    <s v="High"/>
    <x v="0"/>
  </r>
  <r>
    <s v="L00120"/>
    <s v="C0158"/>
    <n v="31"/>
    <n v="178483"/>
    <n v="1153375"/>
    <n v="10.4"/>
    <n v="120"/>
    <n v="724"/>
    <x v="2"/>
    <x v="2"/>
    <n v="15499"/>
    <x v="1"/>
    <x v="114"/>
    <s v="Chennai"/>
    <s v="Self-Employed"/>
    <s v="Low"/>
    <x v="2"/>
  </r>
  <r>
    <s v="L00121"/>
    <s v="C0004"/>
    <n v="38"/>
    <n v="92370"/>
    <n v="262408"/>
    <n v="7.55"/>
    <n v="24"/>
    <n v="789"/>
    <x v="2"/>
    <x v="2"/>
    <n v="11814"/>
    <x v="1"/>
    <x v="115"/>
    <s v="Chennai"/>
    <s v="Self-Employed"/>
    <s v="Low"/>
    <x v="1"/>
  </r>
  <r>
    <s v="L00122"/>
    <s v="C0013"/>
    <n v="51"/>
    <n v="113337"/>
    <n v="930541"/>
    <n v="9.9700000000000006"/>
    <n v="120"/>
    <n v="643"/>
    <x v="3"/>
    <x v="2"/>
    <n v="12282"/>
    <x v="1"/>
    <x v="116"/>
    <s v="Bangalore"/>
    <s v="Business Owner"/>
    <s v="High"/>
    <x v="2"/>
  </r>
  <r>
    <s v="L00123"/>
    <s v="C0071"/>
    <n v="27"/>
    <n v="39821"/>
    <n v="1656136"/>
    <n v="12.45"/>
    <n v="60"/>
    <n v="623"/>
    <x v="3"/>
    <x v="1"/>
    <n v="37218"/>
    <x v="1"/>
    <x v="117"/>
    <s v="Pune"/>
    <s v="Salaried"/>
    <s v="Medium"/>
    <x v="2"/>
  </r>
  <r>
    <s v="L00124"/>
    <s v="C0094"/>
    <n v="29"/>
    <n v="157658"/>
    <n v="995713"/>
    <n v="10.8"/>
    <n v="180"/>
    <n v="823"/>
    <x v="2"/>
    <x v="3"/>
    <n v="11193"/>
    <x v="1"/>
    <x v="118"/>
    <s v="Chennai"/>
    <s v="Self-Employed"/>
    <s v="Low"/>
    <x v="1"/>
  </r>
  <r>
    <s v="L00125"/>
    <s v="C0058"/>
    <n v="46"/>
    <n v="149439"/>
    <n v="1195064"/>
    <n v="13.37"/>
    <n v="180"/>
    <n v="799"/>
    <x v="0"/>
    <x v="1"/>
    <n v="15413"/>
    <x v="0"/>
    <x v="119"/>
    <s v="Hyderabad"/>
    <s v="Self-Employed"/>
    <s v="Low"/>
    <x v="1"/>
  </r>
  <r>
    <s v="L00126"/>
    <s v="C0095"/>
    <n v="38"/>
    <n v="61088"/>
    <n v="613911"/>
    <n v="13.48"/>
    <n v="60"/>
    <n v="620"/>
    <x v="3"/>
    <x v="3"/>
    <n v="14120"/>
    <x v="1"/>
    <x v="120"/>
    <s v="Mumbai"/>
    <s v="Self-Employed"/>
    <s v="High"/>
    <x v="2"/>
  </r>
  <r>
    <s v="L00127"/>
    <s v="C0073"/>
    <n v="52"/>
    <n v="159523"/>
    <n v="686421"/>
    <n v="10.66"/>
    <n v="120"/>
    <n v="539"/>
    <x v="1"/>
    <x v="1"/>
    <n v="9324"/>
    <x v="2"/>
    <x v="121"/>
    <s v="Bangalore"/>
    <s v="Business Owner"/>
    <s v="Medium"/>
    <x v="0"/>
  </r>
  <r>
    <s v="L00128"/>
    <s v="C0013"/>
    <n v="22"/>
    <n v="181657"/>
    <n v="1732520"/>
    <n v="9.7799999999999994"/>
    <n v="48"/>
    <n v="460"/>
    <x v="1"/>
    <x v="3"/>
    <n v="43758"/>
    <x v="0"/>
    <x v="122"/>
    <s v="Bangalore"/>
    <s v="Business Owner"/>
    <s v="High"/>
    <x v="0"/>
  </r>
  <r>
    <s v="L00129"/>
    <s v="C0164"/>
    <n v="33"/>
    <n v="189885"/>
    <n v="1410660"/>
    <n v="16.170000000000002"/>
    <n v="240"/>
    <n v="607"/>
    <x v="0"/>
    <x v="2"/>
    <n v="19806"/>
    <x v="0"/>
    <x v="123"/>
    <s v="Hyderabad"/>
    <s v="Self-Employed"/>
    <s v="High"/>
    <x v="2"/>
  </r>
  <r>
    <s v="L00130"/>
    <s v="C0101"/>
    <n v="33"/>
    <n v="170244"/>
    <n v="259065"/>
    <n v="14.4"/>
    <n v="24"/>
    <n v="735"/>
    <x v="1"/>
    <x v="0"/>
    <n v="12487"/>
    <x v="1"/>
    <x v="9"/>
    <s v="Mumbai"/>
    <s v="Business Owner"/>
    <s v="High"/>
    <x v="2"/>
  </r>
  <r>
    <s v="L00131"/>
    <s v="C0088"/>
    <n v="51"/>
    <n v="189612"/>
    <n v="758406"/>
    <n v="11.26"/>
    <n v="120"/>
    <n v="485"/>
    <x v="1"/>
    <x v="3"/>
    <n v="10559"/>
    <x v="1"/>
    <x v="124"/>
    <s v="Mumbai"/>
    <s v="Business Owner"/>
    <s v="Medium"/>
    <x v="0"/>
  </r>
  <r>
    <s v="L00132"/>
    <s v="C0155"/>
    <n v="56"/>
    <n v="165860"/>
    <n v="1072273"/>
    <n v="11.86"/>
    <n v="12"/>
    <n v="459"/>
    <x v="0"/>
    <x v="0"/>
    <n v="95200"/>
    <x v="1"/>
    <x v="125"/>
    <s v="Hyderabad"/>
    <s v="Salaried"/>
    <s v="Medium"/>
    <x v="0"/>
  </r>
  <r>
    <s v="L00133"/>
    <s v="C0154"/>
    <n v="25"/>
    <n v="41277"/>
    <n v="418028"/>
    <n v="12.74"/>
    <n v="120"/>
    <n v="603"/>
    <x v="3"/>
    <x v="3"/>
    <n v="6178"/>
    <x v="1"/>
    <x v="126"/>
    <s v="Mumbai"/>
    <s v="Self-Employed"/>
    <s v="Low"/>
    <x v="2"/>
  </r>
  <r>
    <s v="L00134"/>
    <s v="C0034"/>
    <n v="43"/>
    <n v="190586"/>
    <n v="341449"/>
    <n v="13.8"/>
    <n v="180"/>
    <n v="693"/>
    <x v="0"/>
    <x v="0"/>
    <n v="4501"/>
    <x v="0"/>
    <x v="127"/>
    <s v="Delhi"/>
    <s v="Self-Employed"/>
    <s v="Low"/>
    <x v="2"/>
  </r>
  <r>
    <s v="L00135"/>
    <s v="C0193"/>
    <n v="52"/>
    <n v="49537"/>
    <n v="1407020"/>
    <n v="8.65"/>
    <n v="240"/>
    <n v="668"/>
    <x v="1"/>
    <x v="3"/>
    <n v="12344"/>
    <x v="0"/>
    <x v="128"/>
    <s v="Chennai"/>
    <s v="Self-Employed"/>
    <s v="High"/>
    <x v="2"/>
  </r>
  <r>
    <s v="L00136"/>
    <s v="C0085"/>
    <n v="59"/>
    <n v="113993"/>
    <n v="1029104"/>
    <n v="11.06"/>
    <n v="60"/>
    <n v="663"/>
    <x v="3"/>
    <x v="2"/>
    <n v="22406"/>
    <x v="1"/>
    <x v="89"/>
    <s v="Bangalore"/>
    <s v="Business Owner"/>
    <s v="Medium"/>
    <x v="2"/>
  </r>
  <r>
    <s v="L00137"/>
    <s v="C0084"/>
    <n v="50"/>
    <n v="106968"/>
    <n v="1654740"/>
    <n v="10.16"/>
    <n v="24"/>
    <n v="787"/>
    <x v="2"/>
    <x v="1"/>
    <n v="76480"/>
    <x v="1"/>
    <x v="129"/>
    <s v="Mumbai"/>
    <s v="Business Owner"/>
    <s v="Low"/>
    <x v="1"/>
  </r>
  <r>
    <s v="L00138"/>
    <s v="C0033"/>
    <n v="25"/>
    <n v="112537"/>
    <n v="782702"/>
    <n v="13.88"/>
    <n v="48"/>
    <n v="653"/>
    <x v="3"/>
    <x v="2"/>
    <n v="21341"/>
    <x v="1"/>
    <x v="130"/>
    <s v="Delhi"/>
    <s v="Salaried"/>
    <s v="Low"/>
    <x v="2"/>
  </r>
  <r>
    <s v="L00139"/>
    <s v="C0134"/>
    <n v="39"/>
    <n v="41127"/>
    <n v="1028225"/>
    <n v="9.01"/>
    <n v="240"/>
    <n v="465"/>
    <x v="1"/>
    <x v="2"/>
    <n v="9258"/>
    <x v="1"/>
    <x v="131"/>
    <s v="Bangalore"/>
    <s v="Self-Employed"/>
    <s v="Medium"/>
    <x v="0"/>
  </r>
  <r>
    <s v="L00140"/>
    <s v="C0065"/>
    <n v="29"/>
    <n v="108846"/>
    <n v="636422"/>
    <n v="12.56"/>
    <n v="60"/>
    <n v="594"/>
    <x v="2"/>
    <x v="1"/>
    <n v="14338"/>
    <x v="1"/>
    <x v="132"/>
    <s v="Bangalore"/>
    <s v="Business Owner"/>
    <s v="High"/>
    <x v="0"/>
  </r>
  <r>
    <s v="L00141"/>
    <s v="C0139"/>
    <n v="39"/>
    <n v="124894"/>
    <n v="1226902"/>
    <n v="16.13"/>
    <n v="120"/>
    <n v="666"/>
    <x v="0"/>
    <x v="2"/>
    <n v="20652"/>
    <x v="0"/>
    <x v="123"/>
    <s v="Bangalore"/>
    <s v="Self-Employed"/>
    <s v="High"/>
    <x v="2"/>
  </r>
  <r>
    <s v="L00142"/>
    <s v="C0054"/>
    <n v="58"/>
    <n v="185009"/>
    <n v="1671127"/>
    <n v="8.1999999999999993"/>
    <n v="36"/>
    <n v="654"/>
    <x v="0"/>
    <x v="0"/>
    <n v="52521"/>
    <x v="0"/>
    <x v="133"/>
    <s v="Pune"/>
    <s v="Self-Employed"/>
    <s v="Low"/>
    <x v="2"/>
  </r>
  <r>
    <s v="L00143"/>
    <s v="C0034"/>
    <n v="54"/>
    <n v="179360"/>
    <n v="1945100"/>
    <n v="13.52"/>
    <n v="36"/>
    <n v="645"/>
    <x v="2"/>
    <x v="2"/>
    <n v="66026"/>
    <x v="1"/>
    <x v="134"/>
    <s v="Delhi"/>
    <s v="Self-Employed"/>
    <s v="Low"/>
    <x v="2"/>
  </r>
  <r>
    <s v="L00144"/>
    <s v="C0108"/>
    <n v="42"/>
    <n v="169080"/>
    <n v="1230828"/>
    <n v="11.93"/>
    <n v="36"/>
    <n v="698"/>
    <x v="3"/>
    <x v="0"/>
    <n v="40840"/>
    <x v="0"/>
    <x v="135"/>
    <s v="Delhi"/>
    <s v="Self-Employed"/>
    <s v="Low"/>
    <x v="2"/>
  </r>
  <r>
    <s v="L00145"/>
    <s v="C0196"/>
    <n v="58"/>
    <n v="29689"/>
    <n v="614367"/>
    <n v="11.11"/>
    <n v="180"/>
    <n v="455"/>
    <x v="3"/>
    <x v="3"/>
    <n v="7025"/>
    <x v="2"/>
    <x v="136"/>
    <s v="Pune"/>
    <s v="Business Owner"/>
    <s v="Medium"/>
    <x v="0"/>
  </r>
  <r>
    <s v="L00146"/>
    <s v="C0063"/>
    <n v="40"/>
    <n v="30341"/>
    <n v="1760409"/>
    <n v="10.220000000000001"/>
    <n v="12"/>
    <n v="839"/>
    <x v="2"/>
    <x v="2"/>
    <n v="154948"/>
    <x v="1"/>
    <x v="137"/>
    <s v="Hyderabad"/>
    <s v="Business Owner"/>
    <s v="High"/>
    <x v="1"/>
  </r>
  <r>
    <s v="L00147"/>
    <s v="C0012"/>
    <n v="53"/>
    <n v="151402"/>
    <n v="1091850"/>
    <n v="13.44"/>
    <n v="60"/>
    <n v="494"/>
    <x v="0"/>
    <x v="3"/>
    <n v="25090"/>
    <x v="1"/>
    <x v="138"/>
    <s v="Delhi"/>
    <s v="Business Owner"/>
    <s v="High"/>
    <x v="0"/>
  </r>
  <r>
    <s v="L00148"/>
    <s v="C0046"/>
    <n v="50"/>
    <n v="41529"/>
    <n v="1833549"/>
    <n v="9.3800000000000008"/>
    <n v="12"/>
    <n v="478"/>
    <x v="2"/>
    <x v="3"/>
    <n v="160670"/>
    <x v="0"/>
    <x v="139"/>
    <s v="Pune"/>
    <s v="Salaried"/>
    <s v="High"/>
    <x v="0"/>
  </r>
  <r>
    <s v="L00149"/>
    <s v="C0120"/>
    <n v="32"/>
    <n v="110500"/>
    <n v="1077731"/>
    <n v="16.29"/>
    <n v="24"/>
    <n v="493"/>
    <x v="3"/>
    <x v="2"/>
    <n v="52919"/>
    <x v="1"/>
    <x v="140"/>
    <s v="Pune"/>
    <s v="Salaried"/>
    <s v="Medium"/>
    <x v="0"/>
  </r>
  <r>
    <s v="L00150"/>
    <s v="C0118"/>
    <n v="22"/>
    <n v="76635"/>
    <n v="1266185"/>
    <n v="12.93"/>
    <n v="60"/>
    <n v="591"/>
    <x v="2"/>
    <x v="1"/>
    <n v="28764"/>
    <x v="0"/>
    <x v="141"/>
    <s v="Chennai"/>
    <s v="Business Owner"/>
    <s v="Medium"/>
    <x v="0"/>
  </r>
  <r>
    <s v="L00151"/>
    <s v="C0142"/>
    <n v="44"/>
    <n v="32095"/>
    <n v="1307793"/>
    <n v="11.62"/>
    <n v="24"/>
    <n v="743"/>
    <x v="1"/>
    <x v="2"/>
    <n v="61331"/>
    <x v="1"/>
    <x v="106"/>
    <s v="Mumbai"/>
    <s v="Business Owner"/>
    <s v="High"/>
    <x v="2"/>
  </r>
  <r>
    <s v="L00152"/>
    <s v="C0196"/>
    <n v="25"/>
    <n v="42198"/>
    <n v="1824002"/>
    <n v="12.27"/>
    <n v="240"/>
    <n v="682"/>
    <x v="0"/>
    <x v="3"/>
    <n v="20428"/>
    <x v="1"/>
    <x v="142"/>
    <s v="Pune"/>
    <s v="Business Owner"/>
    <s v="Medium"/>
    <x v="2"/>
  </r>
  <r>
    <s v="L00153"/>
    <s v="C0019"/>
    <n v="29"/>
    <n v="188266"/>
    <n v="1215326"/>
    <n v="15.33"/>
    <n v="180"/>
    <n v="719"/>
    <x v="2"/>
    <x v="1"/>
    <n v="17285"/>
    <x v="0"/>
    <x v="143"/>
    <s v="Chennai"/>
    <s v="Self-Employed"/>
    <s v="Low"/>
    <x v="2"/>
  </r>
  <r>
    <s v="L00154"/>
    <s v="C0133"/>
    <n v="22"/>
    <n v="34266"/>
    <n v="1646805"/>
    <n v="8.7200000000000006"/>
    <n v="180"/>
    <n v="650"/>
    <x v="2"/>
    <x v="3"/>
    <n v="16430"/>
    <x v="1"/>
    <x v="144"/>
    <s v="Mumbai"/>
    <s v="Salaried"/>
    <s v="Low"/>
    <x v="2"/>
  </r>
  <r>
    <s v="L00155"/>
    <s v="C0055"/>
    <n v="42"/>
    <n v="173467"/>
    <n v="1172998"/>
    <n v="13.67"/>
    <n v="60"/>
    <n v="765"/>
    <x v="1"/>
    <x v="0"/>
    <n v="27093"/>
    <x v="0"/>
    <x v="145"/>
    <s v="Pune"/>
    <s v="Salaried"/>
    <s v="High"/>
    <x v="1"/>
  </r>
  <r>
    <s v="L00156"/>
    <s v="C0018"/>
    <n v="52"/>
    <n v="44057"/>
    <n v="1196601"/>
    <n v="7.55"/>
    <n v="240"/>
    <n v="847"/>
    <x v="0"/>
    <x v="1"/>
    <n v="9676"/>
    <x v="1"/>
    <x v="146"/>
    <s v="Delhi"/>
    <s v="Self-Employed"/>
    <s v="Medium"/>
    <x v="1"/>
  </r>
  <r>
    <s v="L00157"/>
    <s v="C0171"/>
    <n v="60"/>
    <n v="63055"/>
    <n v="293697"/>
    <n v="8.9"/>
    <n v="24"/>
    <n v="742"/>
    <x v="2"/>
    <x v="2"/>
    <n v="13404"/>
    <x v="1"/>
    <x v="147"/>
    <s v="Mumbai"/>
    <s v="Salaried"/>
    <s v="Medium"/>
    <x v="2"/>
  </r>
  <r>
    <s v="L00158"/>
    <s v="C0104"/>
    <n v="60"/>
    <n v="149313"/>
    <n v="543233"/>
    <n v="11.42"/>
    <n v="180"/>
    <n v="632"/>
    <x v="3"/>
    <x v="1"/>
    <n v="6318"/>
    <x v="1"/>
    <x v="148"/>
    <s v="Chennai"/>
    <s v="Business Owner"/>
    <s v="High"/>
    <x v="2"/>
  </r>
  <r>
    <s v="L00159"/>
    <s v="C0075"/>
    <n v="34"/>
    <n v="129154"/>
    <n v="892289"/>
    <n v="14.21"/>
    <n v="60"/>
    <n v="494"/>
    <x v="1"/>
    <x v="0"/>
    <n v="20859"/>
    <x v="2"/>
    <x v="149"/>
    <s v="Delhi"/>
    <s v="Salaried"/>
    <s v="High"/>
    <x v="0"/>
  </r>
  <r>
    <s v="L00160"/>
    <s v="C0075"/>
    <n v="58"/>
    <n v="158034"/>
    <n v="123076"/>
    <n v="10.57"/>
    <n v="24"/>
    <n v="843"/>
    <x v="1"/>
    <x v="0"/>
    <n v="5712"/>
    <x v="1"/>
    <x v="150"/>
    <s v="Delhi"/>
    <s v="Salaried"/>
    <s v="High"/>
    <x v="1"/>
  </r>
  <r>
    <s v="L00161"/>
    <s v="C0069"/>
    <n v="32"/>
    <n v="31896"/>
    <n v="1086448"/>
    <n v="9.3000000000000007"/>
    <n v="240"/>
    <n v="677"/>
    <x v="3"/>
    <x v="1"/>
    <n v="9986"/>
    <x v="1"/>
    <x v="139"/>
    <s v="Hyderabad"/>
    <s v="Business Owner"/>
    <s v="High"/>
    <x v="2"/>
  </r>
  <r>
    <s v="L00162"/>
    <s v="C0182"/>
    <n v="23"/>
    <n v="152309"/>
    <n v="1006304"/>
    <n v="15.2"/>
    <n v="180"/>
    <n v="645"/>
    <x v="1"/>
    <x v="0"/>
    <n v="14222"/>
    <x v="0"/>
    <x v="151"/>
    <s v="Delhi"/>
    <s v="Business Owner"/>
    <s v="High"/>
    <x v="2"/>
  </r>
  <r>
    <s v="L00163"/>
    <s v="C0012"/>
    <n v="32"/>
    <n v="85091"/>
    <n v="1543168"/>
    <n v="9.81"/>
    <n v="36"/>
    <n v="637"/>
    <x v="2"/>
    <x v="3"/>
    <n v="49656"/>
    <x v="0"/>
    <x v="152"/>
    <s v="Delhi"/>
    <s v="Business Owner"/>
    <s v="High"/>
    <x v="2"/>
  </r>
  <r>
    <s v="L00164"/>
    <s v="C0098"/>
    <n v="34"/>
    <n v="150065"/>
    <n v="1296032"/>
    <n v="10.34"/>
    <n v="120"/>
    <n v="539"/>
    <x v="2"/>
    <x v="0"/>
    <n v="17372"/>
    <x v="0"/>
    <x v="153"/>
    <s v="Chennai"/>
    <s v="Business Owner"/>
    <s v="Low"/>
    <x v="0"/>
  </r>
  <r>
    <s v="L00165"/>
    <s v="C0148"/>
    <n v="50"/>
    <n v="78180"/>
    <n v="1203137"/>
    <n v="15.83"/>
    <n v="12"/>
    <n v="476"/>
    <x v="0"/>
    <x v="0"/>
    <n v="109065"/>
    <x v="2"/>
    <x v="154"/>
    <s v="Mumbai"/>
    <s v="Self-Employed"/>
    <s v="Medium"/>
    <x v="0"/>
  </r>
  <r>
    <s v="L00166"/>
    <s v="C0084"/>
    <n v="50"/>
    <n v="82441"/>
    <n v="154651"/>
    <n v="14.68"/>
    <n v="60"/>
    <n v="744"/>
    <x v="3"/>
    <x v="3"/>
    <n v="3653"/>
    <x v="1"/>
    <x v="97"/>
    <s v="Mumbai"/>
    <s v="Business Owner"/>
    <s v="Low"/>
    <x v="2"/>
  </r>
  <r>
    <s v="L00167"/>
    <s v="C0018"/>
    <n v="58"/>
    <n v="57760"/>
    <n v="1976065"/>
    <n v="8.3699999999999992"/>
    <n v="12"/>
    <n v="459"/>
    <x v="1"/>
    <x v="1"/>
    <n v="172233"/>
    <x v="1"/>
    <x v="155"/>
    <s v="Delhi"/>
    <s v="Self-Employed"/>
    <s v="Medium"/>
    <x v="0"/>
  </r>
  <r>
    <s v="L00168"/>
    <s v="C0135"/>
    <n v="44"/>
    <n v="195762"/>
    <n v="1227851"/>
    <n v="12.41"/>
    <n v="240"/>
    <n v="715"/>
    <x v="2"/>
    <x v="3"/>
    <n v="13872"/>
    <x v="1"/>
    <x v="105"/>
    <s v="Hyderabad"/>
    <s v="Salaried"/>
    <s v="Medium"/>
    <x v="2"/>
  </r>
  <r>
    <s v="L00169"/>
    <s v="C0011"/>
    <n v="27"/>
    <n v="175829"/>
    <n v="1661378"/>
    <n v="15.35"/>
    <n v="24"/>
    <n v="735"/>
    <x v="3"/>
    <x v="1"/>
    <n v="80831"/>
    <x v="1"/>
    <x v="156"/>
    <s v="Chennai"/>
    <s v="Business Owner"/>
    <s v="High"/>
    <x v="2"/>
  </r>
  <r>
    <s v="L00170"/>
    <s v="C0014"/>
    <n v="23"/>
    <n v="127652"/>
    <n v="884892"/>
    <n v="10.050000000000001"/>
    <n v="12"/>
    <n v="823"/>
    <x v="2"/>
    <x v="0"/>
    <n v="77817"/>
    <x v="0"/>
    <x v="157"/>
    <s v="Mumbai"/>
    <s v="Salaried"/>
    <s v="Low"/>
    <x v="1"/>
  </r>
  <r>
    <s v="L00171"/>
    <s v="C0191"/>
    <n v="30"/>
    <n v="169987"/>
    <n v="934233"/>
    <n v="12.9"/>
    <n v="24"/>
    <n v="623"/>
    <x v="3"/>
    <x v="1"/>
    <n v="44371"/>
    <x v="1"/>
    <x v="158"/>
    <s v="Bangalore"/>
    <s v="Self-Employed"/>
    <s v="Low"/>
    <x v="2"/>
  </r>
  <r>
    <s v="L00172"/>
    <s v="C0030"/>
    <n v="37"/>
    <n v="108199"/>
    <n v="1259623"/>
    <n v="12.54"/>
    <n v="48"/>
    <n v="835"/>
    <x v="0"/>
    <x v="0"/>
    <n v="33506"/>
    <x v="1"/>
    <x v="159"/>
    <s v="Chennai"/>
    <s v="Self-Employed"/>
    <s v="High"/>
    <x v="1"/>
  </r>
  <r>
    <s v="L00173"/>
    <s v="C0181"/>
    <n v="33"/>
    <n v="170184"/>
    <n v="1230358"/>
    <n v="15"/>
    <n v="48"/>
    <n v="487"/>
    <x v="3"/>
    <x v="0"/>
    <n v="34242"/>
    <x v="1"/>
    <x v="160"/>
    <s v="Delhi"/>
    <s v="Business Owner"/>
    <s v="High"/>
    <x v="0"/>
  </r>
  <r>
    <s v="L00174"/>
    <s v="C0165"/>
    <n v="41"/>
    <n v="188537"/>
    <n v="1738885"/>
    <n v="11.64"/>
    <n v="120"/>
    <n v="659"/>
    <x v="0"/>
    <x v="0"/>
    <n v="24587"/>
    <x v="0"/>
    <x v="161"/>
    <s v="Chennai"/>
    <s v="Business Owner"/>
    <s v="Low"/>
    <x v="2"/>
  </r>
  <r>
    <s v="L00175"/>
    <s v="C0074"/>
    <n v="54"/>
    <n v="122924"/>
    <n v="1475858"/>
    <n v="11.34"/>
    <n v="12"/>
    <n v="805"/>
    <x v="1"/>
    <x v="2"/>
    <n v="130673"/>
    <x v="0"/>
    <x v="162"/>
    <s v="Delhi"/>
    <s v="Salaried"/>
    <s v="High"/>
    <x v="1"/>
  </r>
  <r>
    <s v="L00176"/>
    <s v="C0091"/>
    <n v="52"/>
    <n v="160047"/>
    <n v="653756"/>
    <n v="15.9"/>
    <n v="48"/>
    <n v="463"/>
    <x v="3"/>
    <x v="2"/>
    <n v="18494"/>
    <x v="1"/>
    <x v="163"/>
    <s v="Chennai"/>
    <s v="Salaried"/>
    <s v="Low"/>
    <x v="0"/>
  </r>
  <r>
    <s v="L00177"/>
    <s v="C0012"/>
    <n v="58"/>
    <n v="168521"/>
    <n v="445820"/>
    <n v="8.2899999999999991"/>
    <n v="180"/>
    <n v="765"/>
    <x v="0"/>
    <x v="3"/>
    <n v="4335"/>
    <x v="0"/>
    <x v="164"/>
    <s v="Delhi"/>
    <s v="Business Owner"/>
    <s v="High"/>
    <x v="1"/>
  </r>
  <r>
    <s v="L00178"/>
    <s v="C0022"/>
    <n v="44"/>
    <n v="69872"/>
    <n v="1302590"/>
    <n v="15.87"/>
    <n v="48"/>
    <n v="846"/>
    <x v="2"/>
    <x v="1"/>
    <n v="36829"/>
    <x v="0"/>
    <x v="165"/>
    <s v="Delhi"/>
    <s v="Self-Employed"/>
    <s v="High"/>
    <x v="1"/>
  </r>
  <r>
    <s v="L00179"/>
    <s v="C0177"/>
    <n v="32"/>
    <n v="196338"/>
    <n v="538852"/>
    <n v="7.86"/>
    <n v="36"/>
    <n v="781"/>
    <x v="1"/>
    <x v="2"/>
    <n v="16851"/>
    <x v="1"/>
    <x v="166"/>
    <s v="Bangalore"/>
    <s v="Business Owner"/>
    <s v="High"/>
    <x v="1"/>
  </r>
  <r>
    <s v="L00180"/>
    <s v="C0067"/>
    <n v="42"/>
    <n v="109036"/>
    <n v="1157730"/>
    <n v="16.350000000000001"/>
    <n v="180"/>
    <n v="781"/>
    <x v="1"/>
    <x v="0"/>
    <n v="17287"/>
    <x v="1"/>
    <x v="167"/>
    <s v="Delhi"/>
    <s v="Salaried"/>
    <s v="Low"/>
    <x v="1"/>
  </r>
  <r>
    <s v="L00181"/>
    <s v="C0043"/>
    <n v="32"/>
    <n v="162788"/>
    <n v="1622768"/>
    <n v="11.1"/>
    <n v="240"/>
    <n v="708"/>
    <x v="2"/>
    <x v="1"/>
    <n v="16861"/>
    <x v="1"/>
    <x v="27"/>
    <s v="Hyderabad"/>
    <s v="Self-Employed"/>
    <s v="High"/>
    <x v="2"/>
  </r>
  <r>
    <s v="L00182"/>
    <s v="C0197"/>
    <n v="37"/>
    <n v="183168"/>
    <n v="586777"/>
    <n v="14.82"/>
    <n v="24"/>
    <n v="767"/>
    <x v="3"/>
    <x v="2"/>
    <n v="28401"/>
    <x v="1"/>
    <x v="168"/>
    <s v="Pune"/>
    <s v="Self-Employed"/>
    <s v="Low"/>
    <x v="1"/>
  </r>
  <r>
    <s v="L00183"/>
    <s v="C0082"/>
    <n v="30"/>
    <n v="183461"/>
    <n v="974351"/>
    <n v="13.29"/>
    <n v="60"/>
    <n v="604"/>
    <x v="2"/>
    <x v="2"/>
    <n v="22314"/>
    <x v="0"/>
    <x v="169"/>
    <s v="Bangalore"/>
    <s v="Self-Employed"/>
    <s v="Low"/>
    <x v="2"/>
  </r>
  <r>
    <s v="L00184"/>
    <s v="C0172"/>
    <n v="60"/>
    <n v="176275"/>
    <n v="417229"/>
    <n v="7.5"/>
    <n v="120"/>
    <n v="850"/>
    <x v="1"/>
    <x v="2"/>
    <n v="4953"/>
    <x v="1"/>
    <x v="170"/>
    <s v="Delhi"/>
    <s v="Self-Employed"/>
    <s v="High"/>
    <x v="1"/>
  </r>
  <r>
    <s v="L00185"/>
    <s v="C0136"/>
    <n v="58"/>
    <n v="137863"/>
    <n v="1970868"/>
    <n v="12.84"/>
    <n v="240"/>
    <n v="665"/>
    <x v="1"/>
    <x v="2"/>
    <n v="22866"/>
    <x v="0"/>
    <x v="171"/>
    <s v="Delhi"/>
    <s v="Salaried"/>
    <s v="Medium"/>
    <x v="2"/>
  </r>
  <r>
    <s v="L00186"/>
    <s v="C0094"/>
    <n v="35"/>
    <n v="124327"/>
    <n v="818464"/>
    <n v="13.12"/>
    <n v="240"/>
    <n v="758"/>
    <x v="3"/>
    <x v="2"/>
    <n v="9659"/>
    <x v="1"/>
    <x v="172"/>
    <s v="Chennai"/>
    <s v="Self-Employed"/>
    <s v="Low"/>
    <x v="1"/>
  </r>
  <r>
    <s v="L00187"/>
    <s v="C0030"/>
    <n v="48"/>
    <n v="108988"/>
    <n v="1950231"/>
    <n v="13.48"/>
    <n v="60"/>
    <n v="813"/>
    <x v="1"/>
    <x v="0"/>
    <n v="44854"/>
    <x v="0"/>
    <x v="173"/>
    <s v="Chennai"/>
    <s v="Self-Employed"/>
    <s v="High"/>
    <x v="1"/>
  </r>
  <r>
    <s v="L00188"/>
    <s v="C0133"/>
    <n v="56"/>
    <n v="146127"/>
    <n v="1814175"/>
    <n v="13.09"/>
    <n v="120"/>
    <n v="694"/>
    <x v="1"/>
    <x v="0"/>
    <n v="27184"/>
    <x v="0"/>
    <x v="174"/>
    <s v="Mumbai"/>
    <s v="Salaried"/>
    <s v="Low"/>
    <x v="2"/>
  </r>
  <r>
    <s v="L00189"/>
    <s v="C0107"/>
    <n v="53"/>
    <n v="52306"/>
    <n v="1497988"/>
    <n v="13.4"/>
    <n v="48"/>
    <n v="847"/>
    <x v="2"/>
    <x v="0"/>
    <n v="40485"/>
    <x v="1"/>
    <x v="175"/>
    <s v="Chennai"/>
    <s v="Salaried"/>
    <s v="Medium"/>
    <x v="1"/>
  </r>
  <r>
    <s v="L00190"/>
    <s v="C0028"/>
    <n v="54"/>
    <n v="130338"/>
    <n v="1553866"/>
    <n v="10.52"/>
    <n v="60"/>
    <n v="476"/>
    <x v="0"/>
    <x v="0"/>
    <n v="33414"/>
    <x v="2"/>
    <x v="176"/>
    <s v="Delhi"/>
    <s v="Business Owner"/>
    <s v="Medium"/>
    <x v="0"/>
  </r>
  <r>
    <s v="L00191"/>
    <s v="C0125"/>
    <n v="33"/>
    <n v="33015"/>
    <n v="1890256"/>
    <n v="13.37"/>
    <n v="24"/>
    <n v="644"/>
    <x v="0"/>
    <x v="3"/>
    <n v="90195"/>
    <x v="1"/>
    <x v="177"/>
    <s v="Mumbai"/>
    <s v="Salaried"/>
    <s v="Medium"/>
    <x v="2"/>
  </r>
  <r>
    <s v="L00192"/>
    <s v="C0180"/>
    <n v="45"/>
    <n v="152564"/>
    <n v="1339700"/>
    <n v="14.72"/>
    <n v="180"/>
    <n v="562"/>
    <x v="2"/>
    <x v="0"/>
    <n v="18494"/>
    <x v="1"/>
    <x v="178"/>
    <s v="Chennai"/>
    <s v="Salaried"/>
    <s v="High"/>
    <x v="0"/>
  </r>
  <r>
    <s v="L00193"/>
    <s v="C0159"/>
    <n v="37"/>
    <n v="58716"/>
    <n v="1313233"/>
    <n v="12.83"/>
    <n v="60"/>
    <n v="828"/>
    <x v="1"/>
    <x v="2"/>
    <n v="29766"/>
    <x v="1"/>
    <x v="179"/>
    <s v="Pune"/>
    <s v="Salaried"/>
    <s v="High"/>
    <x v="1"/>
  </r>
  <r>
    <s v="L00194"/>
    <s v="C0015"/>
    <n v="29"/>
    <n v="159403"/>
    <n v="426059"/>
    <n v="13.99"/>
    <n v="12"/>
    <n v="708"/>
    <x v="1"/>
    <x v="3"/>
    <n v="38253"/>
    <x v="1"/>
    <x v="180"/>
    <s v="Delhi"/>
    <s v="Salaried"/>
    <s v="High"/>
    <x v="2"/>
  </r>
  <r>
    <s v="L00195"/>
    <s v="C0132"/>
    <n v="22"/>
    <n v="58856"/>
    <n v="902877"/>
    <n v="12.78"/>
    <n v="120"/>
    <n v="783"/>
    <x v="0"/>
    <x v="0"/>
    <n v="13364"/>
    <x v="1"/>
    <x v="113"/>
    <s v="Mumbai"/>
    <s v="Self-Employed"/>
    <s v="Medium"/>
    <x v="1"/>
  </r>
  <r>
    <s v="L00196"/>
    <s v="C0011"/>
    <n v="53"/>
    <n v="154500"/>
    <n v="527022"/>
    <n v="8.11"/>
    <n v="24"/>
    <n v="509"/>
    <x v="1"/>
    <x v="2"/>
    <n v="23862"/>
    <x v="1"/>
    <x v="181"/>
    <s v="Chennai"/>
    <s v="Business Owner"/>
    <s v="High"/>
    <x v="0"/>
  </r>
  <r>
    <s v="L00197"/>
    <s v="C0034"/>
    <n v="35"/>
    <n v="130171"/>
    <n v="1374072"/>
    <n v="15.2"/>
    <n v="24"/>
    <n v="569"/>
    <x v="2"/>
    <x v="3"/>
    <n v="66755"/>
    <x v="1"/>
    <x v="182"/>
    <s v="Delhi"/>
    <s v="Self-Employed"/>
    <s v="Low"/>
    <x v="0"/>
  </r>
  <r>
    <s v="L00198"/>
    <s v="C0194"/>
    <n v="60"/>
    <n v="145394"/>
    <n v="114868"/>
    <n v="15.91"/>
    <n v="120"/>
    <n v="849"/>
    <x v="0"/>
    <x v="1"/>
    <n v="1918"/>
    <x v="0"/>
    <x v="146"/>
    <s v="Bangalore"/>
    <s v="Self-Employed"/>
    <s v="Medium"/>
    <x v="1"/>
  </r>
  <r>
    <s v="L00199"/>
    <s v="C0073"/>
    <n v="50"/>
    <n v="164189"/>
    <n v="608517"/>
    <n v="8.4499999999999993"/>
    <n v="36"/>
    <n v="507"/>
    <x v="3"/>
    <x v="2"/>
    <n v="19195"/>
    <x v="0"/>
    <x v="183"/>
    <s v="Bangalore"/>
    <s v="Business Owner"/>
    <s v="Medium"/>
    <x v="0"/>
  </r>
  <r>
    <s v="L00200"/>
    <s v="C0095"/>
    <n v="46"/>
    <n v="180974"/>
    <n v="752362"/>
    <n v="11.48"/>
    <n v="48"/>
    <n v="691"/>
    <x v="2"/>
    <x v="1"/>
    <n v="19621"/>
    <x v="1"/>
    <x v="184"/>
    <s v="Mumbai"/>
    <s v="Self-Employed"/>
    <s v="High"/>
    <x v="2"/>
  </r>
  <r>
    <s v="L00201"/>
    <s v="C0081"/>
    <n v="54"/>
    <n v="168926"/>
    <n v="803170"/>
    <n v="10.92"/>
    <n v="120"/>
    <n v="802"/>
    <x v="3"/>
    <x v="2"/>
    <n v="11027"/>
    <x v="0"/>
    <x v="185"/>
    <s v="Pune"/>
    <s v="Salaried"/>
    <s v="High"/>
    <x v="1"/>
  </r>
  <r>
    <s v="L00202"/>
    <s v="C0131"/>
    <n v="26"/>
    <n v="180412"/>
    <n v="239121"/>
    <n v="13.65"/>
    <n v="60"/>
    <n v="804"/>
    <x v="2"/>
    <x v="1"/>
    <n v="5521"/>
    <x v="0"/>
    <x v="186"/>
    <s v="Bangalore"/>
    <s v="Salaried"/>
    <s v="Low"/>
    <x v="1"/>
  </r>
  <r>
    <s v="L00203"/>
    <s v="C0094"/>
    <n v="39"/>
    <n v="106040"/>
    <n v="1630650"/>
    <n v="8.23"/>
    <n v="120"/>
    <n v="656"/>
    <x v="3"/>
    <x v="1"/>
    <n v="19983"/>
    <x v="0"/>
    <x v="187"/>
    <s v="Chennai"/>
    <s v="Self-Employed"/>
    <s v="Low"/>
    <x v="2"/>
  </r>
  <r>
    <s v="L00204"/>
    <s v="C0055"/>
    <n v="45"/>
    <n v="38251"/>
    <n v="888888"/>
    <n v="15.94"/>
    <n v="240"/>
    <n v="665"/>
    <x v="3"/>
    <x v="0"/>
    <n v="12327"/>
    <x v="0"/>
    <x v="188"/>
    <s v="Pune"/>
    <s v="Salaried"/>
    <s v="High"/>
    <x v="2"/>
  </r>
  <r>
    <s v="L00205"/>
    <s v="C0083"/>
    <n v="34"/>
    <n v="75872"/>
    <n v="1889897"/>
    <n v="10.53"/>
    <n v="120"/>
    <n v="655"/>
    <x v="1"/>
    <x v="1"/>
    <n v="25533"/>
    <x v="0"/>
    <x v="189"/>
    <s v="Hyderabad"/>
    <s v="Self-Employed"/>
    <s v="Low"/>
    <x v="2"/>
  </r>
  <r>
    <s v="L00206"/>
    <s v="C0171"/>
    <n v="31"/>
    <n v="49175"/>
    <n v="1527799"/>
    <n v="11.24"/>
    <n v="48"/>
    <n v="537"/>
    <x v="2"/>
    <x v="0"/>
    <n v="39665"/>
    <x v="1"/>
    <x v="190"/>
    <s v="Mumbai"/>
    <s v="Salaried"/>
    <s v="Medium"/>
    <x v="0"/>
  </r>
  <r>
    <s v="L00207"/>
    <s v="C0019"/>
    <n v="41"/>
    <n v="142365"/>
    <n v="999100"/>
    <n v="11.19"/>
    <n v="240"/>
    <n v="587"/>
    <x v="0"/>
    <x v="3"/>
    <n v="10442"/>
    <x v="1"/>
    <x v="191"/>
    <s v="Chennai"/>
    <s v="Self-Employed"/>
    <s v="Low"/>
    <x v="0"/>
  </r>
  <r>
    <s v="L00208"/>
    <s v="C0010"/>
    <n v="59"/>
    <n v="137340"/>
    <n v="1697182"/>
    <n v="15.52"/>
    <n v="60"/>
    <n v="480"/>
    <x v="0"/>
    <x v="1"/>
    <n v="40841"/>
    <x v="2"/>
    <x v="31"/>
    <s v="Delhi"/>
    <s v="Business Owner"/>
    <s v="Low"/>
    <x v="0"/>
  </r>
  <r>
    <s v="L00209"/>
    <s v="C0004"/>
    <n v="25"/>
    <n v="196268"/>
    <n v="611033"/>
    <n v="9.51"/>
    <n v="120"/>
    <n v="516"/>
    <x v="0"/>
    <x v="1"/>
    <n v="7910"/>
    <x v="1"/>
    <x v="192"/>
    <s v="Chennai"/>
    <s v="Self-Employed"/>
    <s v="Low"/>
    <x v="0"/>
  </r>
  <r>
    <s v="L00210"/>
    <s v="C0121"/>
    <n v="52"/>
    <n v="29175"/>
    <n v="1738037"/>
    <n v="12.09"/>
    <n v="120"/>
    <n v="543"/>
    <x v="0"/>
    <x v="0"/>
    <n v="25026"/>
    <x v="1"/>
    <x v="193"/>
    <s v="Pune"/>
    <s v="Business Owner"/>
    <s v="Low"/>
    <x v="0"/>
  </r>
  <r>
    <s v="L00211"/>
    <s v="C0166"/>
    <n v="42"/>
    <n v="43317"/>
    <n v="627332"/>
    <n v="13.15"/>
    <n v="48"/>
    <n v="540"/>
    <x v="1"/>
    <x v="0"/>
    <n v="16876"/>
    <x v="2"/>
    <x v="194"/>
    <s v="Pune"/>
    <s v="Business Owner"/>
    <s v="High"/>
    <x v="0"/>
  </r>
  <r>
    <s v="L00212"/>
    <s v="C0043"/>
    <n v="34"/>
    <n v="157041"/>
    <n v="139525"/>
    <n v="9.64"/>
    <n v="12"/>
    <n v="832"/>
    <x v="2"/>
    <x v="1"/>
    <n v="12243"/>
    <x v="1"/>
    <x v="195"/>
    <s v="Hyderabad"/>
    <s v="Self-Employed"/>
    <s v="High"/>
    <x v="1"/>
  </r>
  <r>
    <s v="L00213"/>
    <s v="C0169"/>
    <n v="56"/>
    <n v="137121"/>
    <n v="828258"/>
    <n v="8.2899999999999991"/>
    <n v="48"/>
    <n v="810"/>
    <x v="2"/>
    <x v="1"/>
    <n v="20333"/>
    <x v="1"/>
    <x v="196"/>
    <s v="Pune"/>
    <s v="Business Owner"/>
    <s v="High"/>
    <x v="1"/>
  </r>
  <r>
    <s v="L00214"/>
    <s v="C0031"/>
    <n v="26"/>
    <n v="134969"/>
    <n v="705506"/>
    <n v="11.38"/>
    <n v="48"/>
    <n v="785"/>
    <x v="3"/>
    <x v="1"/>
    <n v="18365"/>
    <x v="1"/>
    <x v="64"/>
    <s v="Pune"/>
    <s v="Salaried"/>
    <s v="High"/>
    <x v="1"/>
  </r>
  <r>
    <s v="L00215"/>
    <s v="C0154"/>
    <n v="38"/>
    <n v="33885"/>
    <n v="915412"/>
    <n v="14.68"/>
    <n v="24"/>
    <n v="648"/>
    <x v="1"/>
    <x v="1"/>
    <n v="44246"/>
    <x v="0"/>
    <x v="197"/>
    <s v="Mumbai"/>
    <s v="Self-Employed"/>
    <s v="Low"/>
    <x v="2"/>
  </r>
  <r>
    <s v="L00216"/>
    <s v="C0196"/>
    <n v="49"/>
    <n v="114563"/>
    <n v="1227034"/>
    <n v="12.63"/>
    <n v="48"/>
    <n v="562"/>
    <x v="2"/>
    <x v="1"/>
    <n v="32693"/>
    <x v="2"/>
    <x v="198"/>
    <s v="Pune"/>
    <s v="Business Owner"/>
    <s v="Medium"/>
    <x v="0"/>
  </r>
  <r>
    <s v="L00217"/>
    <s v="C0171"/>
    <n v="36"/>
    <n v="137414"/>
    <n v="314618"/>
    <n v="9.8699999999999992"/>
    <n v="24"/>
    <n v="606"/>
    <x v="1"/>
    <x v="2"/>
    <n v="14499"/>
    <x v="1"/>
    <x v="199"/>
    <s v="Mumbai"/>
    <s v="Salaried"/>
    <s v="Medium"/>
    <x v="2"/>
  </r>
  <r>
    <s v="L00218"/>
    <s v="C0092"/>
    <n v="55"/>
    <n v="65472"/>
    <n v="537413"/>
    <n v="8.2899999999999991"/>
    <n v="180"/>
    <n v="487"/>
    <x v="1"/>
    <x v="2"/>
    <n v="5226"/>
    <x v="2"/>
    <x v="200"/>
    <s v="Chennai"/>
    <s v="Business Owner"/>
    <s v="Medium"/>
    <x v="0"/>
  </r>
  <r>
    <s v="L00219"/>
    <s v="C0016"/>
    <n v="36"/>
    <n v="142139"/>
    <n v="585419"/>
    <n v="11.83"/>
    <n v="36"/>
    <n v="577"/>
    <x v="3"/>
    <x v="3"/>
    <n v="19397"/>
    <x v="0"/>
    <x v="193"/>
    <s v="Bangalore"/>
    <s v="Self-Employed"/>
    <s v="Medium"/>
    <x v="0"/>
  </r>
  <r>
    <s v="L00220"/>
    <s v="C0033"/>
    <n v="24"/>
    <n v="128119"/>
    <n v="1721651"/>
    <n v="11.35"/>
    <n v="24"/>
    <n v="454"/>
    <x v="3"/>
    <x v="0"/>
    <n v="80522"/>
    <x v="2"/>
    <x v="201"/>
    <s v="Delhi"/>
    <s v="Salaried"/>
    <s v="Low"/>
    <x v="0"/>
  </r>
  <r>
    <s v="L00221"/>
    <s v="C0052"/>
    <n v="40"/>
    <n v="47971"/>
    <n v="560691"/>
    <n v="10.84"/>
    <n v="240"/>
    <n v="703"/>
    <x v="2"/>
    <x v="3"/>
    <n v="5726"/>
    <x v="0"/>
    <x v="202"/>
    <s v="Bangalore"/>
    <s v="Salaried"/>
    <s v="Medium"/>
    <x v="2"/>
  </r>
  <r>
    <s v="L00222"/>
    <s v="C0149"/>
    <n v="48"/>
    <n v="109846"/>
    <n v="388446"/>
    <n v="9.94"/>
    <n v="180"/>
    <n v="508"/>
    <x v="1"/>
    <x v="2"/>
    <n v="4160"/>
    <x v="1"/>
    <x v="203"/>
    <s v="Hyderabad"/>
    <s v="Salaried"/>
    <s v="Medium"/>
    <x v="0"/>
  </r>
  <r>
    <s v="L00223"/>
    <s v="C0075"/>
    <n v="58"/>
    <n v="127225"/>
    <n v="596049"/>
    <n v="10.55"/>
    <n v="24"/>
    <n v="451"/>
    <x v="1"/>
    <x v="0"/>
    <n v="27656"/>
    <x v="2"/>
    <x v="204"/>
    <s v="Delhi"/>
    <s v="Salaried"/>
    <s v="High"/>
    <x v="0"/>
  </r>
  <r>
    <s v="L00224"/>
    <s v="C0047"/>
    <n v="23"/>
    <n v="71016"/>
    <n v="1838365"/>
    <n v="13.67"/>
    <n v="240"/>
    <n v="631"/>
    <x v="3"/>
    <x v="2"/>
    <n v="22421"/>
    <x v="1"/>
    <x v="205"/>
    <s v="Chennai"/>
    <s v="Self-Employed"/>
    <s v="High"/>
    <x v="2"/>
  </r>
  <r>
    <s v="L00225"/>
    <s v="C0185"/>
    <n v="48"/>
    <n v="199608"/>
    <n v="1080310"/>
    <n v="14.95"/>
    <n v="120"/>
    <n v="826"/>
    <x v="2"/>
    <x v="3"/>
    <n v="17396"/>
    <x v="0"/>
    <x v="206"/>
    <s v="Bangalore"/>
    <s v="Salaried"/>
    <s v="Medium"/>
    <x v="1"/>
  </r>
  <r>
    <s v="L00226"/>
    <s v="C0167"/>
    <n v="44"/>
    <n v="29827"/>
    <n v="550981"/>
    <n v="12.66"/>
    <n v="60"/>
    <n v="529"/>
    <x v="3"/>
    <x v="3"/>
    <n v="12441"/>
    <x v="1"/>
    <x v="207"/>
    <s v="Pune"/>
    <s v="Business Owner"/>
    <s v="Medium"/>
    <x v="0"/>
  </r>
  <r>
    <s v="L00227"/>
    <s v="C0200"/>
    <n v="59"/>
    <n v="187263"/>
    <n v="1307042"/>
    <n v="15.7"/>
    <n v="180"/>
    <n v="649"/>
    <x v="2"/>
    <x v="1"/>
    <n v="18924"/>
    <x v="0"/>
    <x v="208"/>
    <s v="Pune"/>
    <s v="Salaried"/>
    <s v="Medium"/>
    <x v="2"/>
  </r>
  <r>
    <s v="L00228"/>
    <s v="C0178"/>
    <n v="53"/>
    <n v="82758"/>
    <n v="683716"/>
    <n v="7.56"/>
    <n v="24"/>
    <n v="747"/>
    <x v="1"/>
    <x v="1"/>
    <n v="30786"/>
    <x v="1"/>
    <x v="209"/>
    <s v="Pune"/>
    <s v="Self-Employed"/>
    <s v="Medium"/>
    <x v="2"/>
  </r>
  <r>
    <s v="L00229"/>
    <s v="C0099"/>
    <n v="41"/>
    <n v="174834"/>
    <n v="1071476"/>
    <n v="12.81"/>
    <n v="12"/>
    <n v="725"/>
    <x v="3"/>
    <x v="3"/>
    <n v="95606"/>
    <x v="0"/>
    <x v="210"/>
    <s v="Delhi"/>
    <s v="Business Owner"/>
    <s v="Medium"/>
    <x v="2"/>
  </r>
  <r>
    <s v="L00230"/>
    <s v="C0009"/>
    <n v="50"/>
    <n v="59946"/>
    <n v="1095245"/>
    <n v="16.309999999999999"/>
    <n v="180"/>
    <n v="732"/>
    <x v="0"/>
    <x v="0"/>
    <n v="16323"/>
    <x v="1"/>
    <x v="173"/>
    <s v="Chennai"/>
    <s v="Self-Employed"/>
    <s v="High"/>
    <x v="2"/>
  </r>
  <r>
    <s v="L00231"/>
    <s v="C0093"/>
    <n v="46"/>
    <n v="110497"/>
    <n v="489311"/>
    <n v="8.26"/>
    <n v="180"/>
    <n v="674"/>
    <x v="1"/>
    <x v="3"/>
    <n v="4750"/>
    <x v="1"/>
    <x v="211"/>
    <s v="Delhi"/>
    <s v="Business Owner"/>
    <s v="Low"/>
    <x v="2"/>
  </r>
  <r>
    <s v="L00232"/>
    <s v="C0086"/>
    <n v="54"/>
    <n v="79080"/>
    <n v="1222490"/>
    <n v="10.6"/>
    <n v="48"/>
    <n v="606"/>
    <x v="1"/>
    <x v="0"/>
    <n v="31359"/>
    <x v="0"/>
    <x v="212"/>
    <s v="Hyderabad"/>
    <s v="Salaried"/>
    <s v="High"/>
    <x v="2"/>
  </r>
  <r>
    <s v="L00233"/>
    <s v="C0163"/>
    <n v="59"/>
    <n v="150601"/>
    <n v="390350"/>
    <n v="13.69"/>
    <n v="24"/>
    <n v="522"/>
    <x v="1"/>
    <x v="1"/>
    <n v="18685"/>
    <x v="1"/>
    <x v="143"/>
    <s v="Pune"/>
    <s v="Self-Employed"/>
    <s v="Medium"/>
    <x v="0"/>
  </r>
  <r>
    <s v="L00234"/>
    <s v="C0115"/>
    <n v="52"/>
    <n v="144455"/>
    <n v="759552"/>
    <n v="8.6"/>
    <n v="24"/>
    <n v="560"/>
    <x v="0"/>
    <x v="3"/>
    <n v="34561"/>
    <x v="0"/>
    <x v="213"/>
    <s v="Mumbai"/>
    <s v="Salaried"/>
    <s v="Medium"/>
    <x v="0"/>
  </r>
  <r>
    <s v="L00235"/>
    <s v="C0097"/>
    <n v="23"/>
    <n v="36394"/>
    <n v="649379"/>
    <n v="13.64"/>
    <n v="60"/>
    <n v="838"/>
    <x v="3"/>
    <x v="0"/>
    <n v="14989"/>
    <x v="0"/>
    <x v="214"/>
    <s v="Delhi"/>
    <s v="Self-Employed"/>
    <s v="Medium"/>
    <x v="1"/>
  </r>
  <r>
    <s v="L00236"/>
    <s v="C0010"/>
    <n v="42"/>
    <n v="38192"/>
    <n v="1399406"/>
    <n v="12.88"/>
    <n v="180"/>
    <n v="732"/>
    <x v="2"/>
    <x v="1"/>
    <n v="17596"/>
    <x v="1"/>
    <x v="63"/>
    <s v="Delhi"/>
    <s v="Business Owner"/>
    <s v="Low"/>
    <x v="2"/>
  </r>
  <r>
    <s v="L00237"/>
    <s v="C0066"/>
    <n v="54"/>
    <n v="188087"/>
    <n v="923749"/>
    <n v="13.55"/>
    <n v="12"/>
    <n v="604"/>
    <x v="2"/>
    <x v="1"/>
    <n v="82745"/>
    <x v="1"/>
    <x v="215"/>
    <s v="Pune"/>
    <s v="Business Owner"/>
    <s v="High"/>
    <x v="2"/>
  </r>
  <r>
    <s v="L00238"/>
    <s v="C0068"/>
    <n v="60"/>
    <n v="162910"/>
    <n v="1753701"/>
    <n v="12.99"/>
    <n v="36"/>
    <n v="620"/>
    <x v="3"/>
    <x v="0"/>
    <n v="59081"/>
    <x v="1"/>
    <x v="216"/>
    <s v="Delhi"/>
    <s v="Self-Employed"/>
    <s v="Low"/>
    <x v="2"/>
  </r>
  <r>
    <s v="L00239"/>
    <s v="C0106"/>
    <n v="29"/>
    <n v="102008"/>
    <n v="301404"/>
    <n v="16.46"/>
    <n v="24"/>
    <n v="726"/>
    <x v="3"/>
    <x v="3"/>
    <n v="14824"/>
    <x v="1"/>
    <x v="135"/>
    <s v="Mumbai"/>
    <s v="Self-Employed"/>
    <s v="High"/>
    <x v="2"/>
  </r>
  <r>
    <s v="L00240"/>
    <s v="C0042"/>
    <n v="29"/>
    <n v="135977"/>
    <n v="1557632"/>
    <n v="10.46"/>
    <n v="60"/>
    <n v="550"/>
    <x v="0"/>
    <x v="3"/>
    <n v="33449"/>
    <x v="1"/>
    <x v="217"/>
    <s v="Mumbai"/>
    <s v="Salaried"/>
    <s v="Low"/>
    <x v="0"/>
  </r>
  <r>
    <s v="L00241"/>
    <s v="C0014"/>
    <n v="54"/>
    <n v="84478"/>
    <n v="372265"/>
    <n v="14.41"/>
    <n v="60"/>
    <n v="846"/>
    <x v="3"/>
    <x v="3"/>
    <n v="8741"/>
    <x v="0"/>
    <x v="218"/>
    <s v="Mumbai"/>
    <s v="Salaried"/>
    <s v="Low"/>
    <x v="1"/>
  </r>
  <r>
    <s v="L00242"/>
    <s v="C0157"/>
    <n v="48"/>
    <n v="183902"/>
    <n v="126940"/>
    <n v="10.85"/>
    <n v="240"/>
    <n v="698"/>
    <x v="0"/>
    <x v="2"/>
    <n v="1297"/>
    <x v="1"/>
    <x v="219"/>
    <s v="Pune"/>
    <s v="Self-Employed"/>
    <s v="Low"/>
    <x v="2"/>
  </r>
  <r>
    <s v="L00243"/>
    <s v="C0122"/>
    <n v="31"/>
    <n v="68541"/>
    <n v="252750"/>
    <n v="11.95"/>
    <n v="12"/>
    <n v="653"/>
    <x v="2"/>
    <x v="3"/>
    <n v="22451"/>
    <x v="1"/>
    <x v="220"/>
    <s v="Hyderabad"/>
    <s v="Business Owner"/>
    <s v="High"/>
    <x v="2"/>
  </r>
  <r>
    <s v="L00244"/>
    <s v="C0063"/>
    <n v="26"/>
    <n v="171248"/>
    <n v="218058"/>
    <n v="12.54"/>
    <n v="180"/>
    <n v="589"/>
    <x v="3"/>
    <x v="3"/>
    <n v="2693"/>
    <x v="1"/>
    <x v="210"/>
    <s v="Hyderabad"/>
    <s v="Business Owner"/>
    <s v="High"/>
    <x v="0"/>
  </r>
  <r>
    <s v="L00245"/>
    <s v="C0150"/>
    <n v="30"/>
    <n v="191489"/>
    <n v="1340311"/>
    <n v="7.95"/>
    <n v="120"/>
    <n v="734"/>
    <x v="0"/>
    <x v="2"/>
    <n v="16226"/>
    <x v="1"/>
    <x v="221"/>
    <s v="Bangalore"/>
    <s v="Salaried"/>
    <s v="Medium"/>
    <x v="2"/>
  </r>
  <r>
    <s v="L00246"/>
    <s v="C0147"/>
    <n v="24"/>
    <n v="195071"/>
    <n v="500828"/>
    <n v="8.75"/>
    <n v="180"/>
    <n v="489"/>
    <x v="1"/>
    <x v="1"/>
    <n v="5006"/>
    <x v="2"/>
    <x v="222"/>
    <s v="Bangalore"/>
    <s v="Business Owner"/>
    <s v="Low"/>
    <x v="0"/>
  </r>
  <r>
    <s v="L00247"/>
    <s v="C0058"/>
    <n v="25"/>
    <n v="70047"/>
    <n v="357479"/>
    <n v="15.47"/>
    <n v="24"/>
    <n v="654"/>
    <x v="1"/>
    <x v="3"/>
    <n v="17413"/>
    <x v="0"/>
    <x v="223"/>
    <s v="Hyderabad"/>
    <s v="Self-Employed"/>
    <s v="Low"/>
    <x v="2"/>
  </r>
  <r>
    <s v="L00248"/>
    <s v="C0045"/>
    <n v="42"/>
    <n v="30563"/>
    <n v="1596695"/>
    <n v="10.81"/>
    <n v="120"/>
    <n v="754"/>
    <x v="0"/>
    <x v="1"/>
    <n v="21823"/>
    <x v="1"/>
    <x v="224"/>
    <s v="Pune"/>
    <s v="Self-Employed"/>
    <s v="Medium"/>
    <x v="1"/>
  </r>
  <r>
    <s v="L00249"/>
    <s v="C0006"/>
    <n v="49"/>
    <n v="70073"/>
    <n v="1841949"/>
    <n v="15.54"/>
    <n v="24"/>
    <n v="615"/>
    <x v="1"/>
    <x v="0"/>
    <n v="89783"/>
    <x v="0"/>
    <x v="225"/>
    <s v="Bangalore"/>
    <s v="Salaried"/>
    <s v="Medium"/>
    <x v="2"/>
  </r>
  <r>
    <s v="L00250"/>
    <s v="C0154"/>
    <n v="27"/>
    <n v="151674"/>
    <n v="961589"/>
    <n v="10.01"/>
    <n v="24"/>
    <n v="644"/>
    <x v="2"/>
    <x v="2"/>
    <n v="44377"/>
    <x v="1"/>
    <x v="226"/>
    <s v="Mumbai"/>
    <s v="Self-Employed"/>
    <s v="Low"/>
    <x v="2"/>
  </r>
  <r>
    <s v="L00251"/>
    <s v="C0024"/>
    <n v="31"/>
    <n v="101990"/>
    <n v="1072905"/>
    <n v="13.05"/>
    <n v="24"/>
    <n v="708"/>
    <x v="3"/>
    <x v="0"/>
    <n v="51033"/>
    <x v="1"/>
    <x v="227"/>
    <s v="Delhi"/>
    <s v="Salaried"/>
    <s v="High"/>
    <x v="2"/>
  </r>
  <r>
    <s v="L00252"/>
    <s v="C0162"/>
    <n v="32"/>
    <n v="136989"/>
    <n v="848825"/>
    <n v="7.67"/>
    <n v="24"/>
    <n v="605"/>
    <x v="1"/>
    <x v="2"/>
    <n v="38262"/>
    <x v="1"/>
    <x v="132"/>
    <s v="Pune"/>
    <s v="Salaried"/>
    <s v="High"/>
    <x v="2"/>
  </r>
  <r>
    <s v="L00253"/>
    <s v="C0010"/>
    <n v="28"/>
    <n v="105089"/>
    <n v="133838"/>
    <n v="15.65"/>
    <n v="120"/>
    <n v="615"/>
    <x v="2"/>
    <x v="1"/>
    <n v="2213"/>
    <x v="1"/>
    <x v="228"/>
    <s v="Delhi"/>
    <s v="Business Owner"/>
    <s v="Low"/>
    <x v="2"/>
  </r>
  <r>
    <s v="L00254"/>
    <s v="C0129"/>
    <n v="32"/>
    <n v="152053"/>
    <n v="851012"/>
    <n v="10.38"/>
    <n v="180"/>
    <n v="581"/>
    <x v="3"/>
    <x v="3"/>
    <n v="9344"/>
    <x v="1"/>
    <x v="229"/>
    <s v="Delhi"/>
    <s v="Business Owner"/>
    <s v="Low"/>
    <x v="0"/>
  </r>
  <r>
    <s v="L00255"/>
    <s v="C0070"/>
    <n v="52"/>
    <n v="181960"/>
    <n v="661173"/>
    <n v="11.82"/>
    <n v="48"/>
    <n v="528"/>
    <x v="3"/>
    <x v="2"/>
    <n v="17353"/>
    <x v="0"/>
    <x v="230"/>
    <s v="Mumbai"/>
    <s v="Business Owner"/>
    <s v="Low"/>
    <x v="0"/>
  </r>
  <r>
    <s v="L00256"/>
    <s v="C0058"/>
    <n v="38"/>
    <n v="115911"/>
    <n v="338584"/>
    <n v="8.4600000000000009"/>
    <n v="12"/>
    <n v="707"/>
    <x v="3"/>
    <x v="2"/>
    <n v="29525"/>
    <x v="1"/>
    <x v="231"/>
    <s v="Hyderabad"/>
    <s v="Self-Employed"/>
    <s v="Low"/>
    <x v="2"/>
  </r>
  <r>
    <s v="L00257"/>
    <s v="C0001"/>
    <n v="35"/>
    <n v="158624"/>
    <n v="1735496"/>
    <n v="16.28"/>
    <n v="24"/>
    <n v="624"/>
    <x v="2"/>
    <x v="0"/>
    <n v="85208"/>
    <x v="0"/>
    <x v="232"/>
    <s v="Delhi"/>
    <s v="Self-Employed"/>
    <s v="High"/>
    <x v="2"/>
  </r>
  <r>
    <s v="L00258"/>
    <s v="C0195"/>
    <n v="29"/>
    <n v="109388"/>
    <n v="1669164"/>
    <n v="8.8699999999999992"/>
    <n v="60"/>
    <n v="507"/>
    <x v="0"/>
    <x v="1"/>
    <n v="34544"/>
    <x v="1"/>
    <x v="233"/>
    <s v="Pune"/>
    <s v="Self-Employed"/>
    <s v="Medium"/>
    <x v="0"/>
  </r>
  <r>
    <s v="L00259"/>
    <s v="C0091"/>
    <n v="44"/>
    <n v="157566"/>
    <n v="180435"/>
    <n v="9.23"/>
    <n v="36"/>
    <n v="734"/>
    <x v="2"/>
    <x v="0"/>
    <n v="5757"/>
    <x v="1"/>
    <x v="39"/>
    <s v="Chennai"/>
    <s v="Salaried"/>
    <s v="Low"/>
    <x v="2"/>
  </r>
  <r>
    <s v="L00260"/>
    <s v="C0090"/>
    <n v="32"/>
    <n v="26458"/>
    <n v="416277"/>
    <n v="12.46"/>
    <n v="120"/>
    <n v="473"/>
    <x v="3"/>
    <x v="1"/>
    <n v="6084"/>
    <x v="1"/>
    <x v="234"/>
    <s v="Hyderabad"/>
    <s v="Business Owner"/>
    <s v="High"/>
    <x v="0"/>
  </r>
  <r>
    <s v="L00261"/>
    <s v="C0119"/>
    <n v="22"/>
    <n v="189348"/>
    <n v="1173227"/>
    <n v="10.44"/>
    <n v="240"/>
    <n v="711"/>
    <x v="1"/>
    <x v="2"/>
    <n v="11666"/>
    <x v="0"/>
    <x v="50"/>
    <s v="Bangalore"/>
    <s v="Salaried"/>
    <s v="Low"/>
    <x v="2"/>
  </r>
  <r>
    <s v="L00262"/>
    <s v="C0100"/>
    <n v="25"/>
    <n v="128882"/>
    <n v="125471"/>
    <n v="11.43"/>
    <n v="240"/>
    <n v="662"/>
    <x v="1"/>
    <x v="0"/>
    <n v="1332"/>
    <x v="1"/>
    <x v="235"/>
    <s v="Mumbai"/>
    <s v="Salaried"/>
    <s v="High"/>
    <x v="2"/>
  </r>
  <r>
    <s v="L00263"/>
    <s v="C0011"/>
    <n v="42"/>
    <n v="31620"/>
    <n v="822646"/>
    <n v="9.31"/>
    <n v="60"/>
    <n v="519"/>
    <x v="0"/>
    <x v="3"/>
    <n v="17201"/>
    <x v="0"/>
    <x v="236"/>
    <s v="Chennai"/>
    <s v="Business Owner"/>
    <s v="High"/>
    <x v="0"/>
  </r>
  <r>
    <s v="L00264"/>
    <s v="C0155"/>
    <n v="32"/>
    <n v="56619"/>
    <n v="1331943"/>
    <n v="14.54"/>
    <n v="12"/>
    <n v="663"/>
    <x v="2"/>
    <x v="3"/>
    <n v="119930"/>
    <x v="1"/>
    <x v="8"/>
    <s v="Hyderabad"/>
    <s v="Salaried"/>
    <s v="Medium"/>
    <x v="2"/>
  </r>
  <r>
    <s v="L00265"/>
    <s v="C0194"/>
    <n v="32"/>
    <n v="153524"/>
    <n v="1688692"/>
    <n v="10.199999999999999"/>
    <n v="240"/>
    <n v="452"/>
    <x v="2"/>
    <x v="1"/>
    <n v="16521"/>
    <x v="1"/>
    <x v="224"/>
    <s v="Bangalore"/>
    <s v="Self-Employed"/>
    <s v="Medium"/>
    <x v="0"/>
  </r>
  <r>
    <s v="L00266"/>
    <s v="C0081"/>
    <n v="26"/>
    <n v="136682"/>
    <n v="787794"/>
    <n v="13.94"/>
    <n v="24"/>
    <n v="501"/>
    <x v="0"/>
    <x v="2"/>
    <n v="37802"/>
    <x v="2"/>
    <x v="237"/>
    <s v="Pune"/>
    <s v="Salaried"/>
    <s v="High"/>
    <x v="0"/>
  </r>
  <r>
    <s v="L00267"/>
    <s v="C0070"/>
    <n v="54"/>
    <n v="151602"/>
    <n v="1010215"/>
    <n v="12.25"/>
    <n v="36"/>
    <n v="692"/>
    <x v="3"/>
    <x v="3"/>
    <n v="33674"/>
    <x v="1"/>
    <x v="193"/>
    <s v="Mumbai"/>
    <s v="Business Owner"/>
    <s v="Low"/>
    <x v="2"/>
  </r>
  <r>
    <s v="L00268"/>
    <s v="C0166"/>
    <n v="52"/>
    <n v="41383"/>
    <n v="1101230"/>
    <n v="16.149999999999999"/>
    <n v="180"/>
    <n v="682"/>
    <x v="3"/>
    <x v="3"/>
    <n v="16289"/>
    <x v="0"/>
    <x v="134"/>
    <s v="Pune"/>
    <s v="Business Owner"/>
    <s v="High"/>
    <x v="2"/>
  </r>
  <r>
    <s v="L00269"/>
    <s v="C0136"/>
    <n v="43"/>
    <n v="142042"/>
    <n v="717525"/>
    <n v="12.14"/>
    <n v="180"/>
    <n v="676"/>
    <x v="3"/>
    <x v="3"/>
    <n v="8676"/>
    <x v="1"/>
    <x v="238"/>
    <s v="Delhi"/>
    <s v="Salaried"/>
    <s v="Medium"/>
    <x v="2"/>
  </r>
  <r>
    <s v="L00270"/>
    <s v="C0040"/>
    <n v="34"/>
    <n v="141933"/>
    <n v="1274364"/>
    <n v="8.68"/>
    <n v="60"/>
    <n v="680"/>
    <x v="2"/>
    <x v="0"/>
    <n v="26256"/>
    <x v="0"/>
    <x v="239"/>
    <s v="Chennai"/>
    <s v="Business Owner"/>
    <s v="Low"/>
    <x v="2"/>
  </r>
  <r>
    <s v="L00271"/>
    <s v="C0042"/>
    <n v="40"/>
    <n v="91006"/>
    <n v="1527302"/>
    <n v="10.25"/>
    <n v="48"/>
    <n v="833"/>
    <x v="3"/>
    <x v="1"/>
    <n v="38920"/>
    <x v="1"/>
    <x v="240"/>
    <s v="Mumbai"/>
    <s v="Salaried"/>
    <s v="Low"/>
    <x v="1"/>
  </r>
  <r>
    <s v="L00272"/>
    <s v="C0049"/>
    <n v="48"/>
    <n v="121328"/>
    <n v="1269185"/>
    <n v="11.02"/>
    <n v="120"/>
    <n v="585"/>
    <x v="1"/>
    <x v="1"/>
    <n v="17497"/>
    <x v="0"/>
    <x v="241"/>
    <s v="Mumbai"/>
    <s v="Business Owner"/>
    <s v="Medium"/>
    <x v="0"/>
  </r>
  <r>
    <s v="L00273"/>
    <s v="C0025"/>
    <n v="34"/>
    <n v="51135"/>
    <n v="1807524"/>
    <n v="15.27"/>
    <n v="24"/>
    <n v="767"/>
    <x v="3"/>
    <x v="3"/>
    <n v="87873"/>
    <x v="0"/>
    <x v="145"/>
    <s v="Delhi"/>
    <s v="Self-Employed"/>
    <s v="High"/>
    <x v="1"/>
  </r>
  <r>
    <s v="L00274"/>
    <s v="C0138"/>
    <n v="42"/>
    <n v="148596"/>
    <n v="1466618"/>
    <n v="16.489999999999998"/>
    <n v="240"/>
    <n v="458"/>
    <x v="1"/>
    <x v="3"/>
    <n v="20945"/>
    <x v="2"/>
    <x v="242"/>
    <s v="Delhi"/>
    <s v="Self-Employed"/>
    <s v="Medium"/>
    <x v="0"/>
  </r>
  <r>
    <s v="L00275"/>
    <s v="C0112"/>
    <n v="39"/>
    <n v="142608"/>
    <n v="1402613"/>
    <n v="14.75"/>
    <n v="36"/>
    <n v="515"/>
    <x v="3"/>
    <x v="3"/>
    <n v="48450"/>
    <x v="0"/>
    <x v="243"/>
    <s v="Chennai"/>
    <s v="Business Owner"/>
    <s v="Medium"/>
    <x v="0"/>
  </r>
  <r>
    <s v="L00276"/>
    <s v="C0135"/>
    <n v="32"/>
    <n v="195528"/>
    <n v="1550468"/>
    <n v="16.11"/>
    <n v="48"/>
    <n v="571"/>
    <x v="2"/>
    <x v="0"/>
    <n v="44028"/>
    <x v="2"/>
    <x v="244"/>
    <s v="Hyderabad"/>
    <s v="Salaried"/>
    <s v="Medium"/>
    <x v="0"/>
  </r>
  <r>
    <s v="L00277"/>
    <s v="C0079"/>
    <n v="45"/>
    <n v="142982"/>
    <n v="1809360"/>
    <n v="15.36"/>
    <n v="12"/>
    <n v="557"/>
    <x v="2"/>
    <x v="1"/>
    <n v="163617"/>
    <x v="1"/>
    <x v="245"/>
    <s v="Delhi"/>
    <s v="Business Owner"/>
    <s v="High"/>
    <x v="0"/>
  </r>
  <r>
    <s v="L00278"/>
    <s v="C0052"/>
    <n v="23"/>
    <n v="113824"/>
    <n v="1274370"/>
    <n v="13.19"/>
    <n v="120"/>
    <n v="521"/>
    <x v="0"/>
    <x v="3"/>
    <n v="19171"/>
    <x v="0"/>
    <x v="173"/>
    <s v="Bangalore"/>
    <s v="Salaried"/>
    <s v="Medium"/>
    <x v="0"/>
  </r>
  <r>
    <s v="L00279"/>
    <s v="C0133"/>
    <n v="47"/>
    <n v="170625"/>
    <n v="365107"/>
    <n v="11.74"/>
    <n v="180"/>
    <n v="459"/>
    <x v="1"/>
    <x v="3"/>
    <n v="4321"/>
    <x v="1"/>
    <x v="246"/>
    <s v="Mumbai"/>
    <s v="Salaried"/>
    <s v="Low"/>
    <x v="0"/>
  </r>
  <r>
    <s v="L00280"/>
    <s v="C0075"/>
    <n v="32"/>
    <n v="156704"/>
    <n v="584760"/>
    <n v="15.29"/>
    <n v="48"/>
    <n v="714"/>
    <x v="1"/>
    <x v="3"/>
    <n v="16360"/>
    <x v="1"/>
    <x v="247"/>
    <s v="Delhi"/>
    <s v="Salaried"/>
    <s v="High"/>
    <x v="2"/>
  </r>
  <r>
    <s v="L00281"/>
    <s v="C0168"/>
    <n v="28"/>
    <n v="69666"/>
    <n v="1839330"/>
    <n v="15.51"/>
    <n v="120"/>
    <n v="692"/>
    <x v="2"/>
    <x v="0"/>
    <n v="30252"/>
    <x v="1"/>
    <x v="248"/>
    <s v="Chennai"/>
    <s v="Self-Employed"/>
    <s v="High"/>
    <x v="2"/>
  </r>
  <r>
    <s v="L00282"/>
    <s v="C0170"/>
    <n v="46"/>
    <n v="29618"/>
    <n v="615275"/>
    <n v="13.93"/>
    <n v="60"/>
    <n v="675"/>
    <x v="2"/>
    <x v="1"/>
    <n v="14294"/>
    <x v="1"/>
    <x v="75"/>
    <s v="Pune"/>
    <s v="Salaried"/>
    <s v="High"/>
    <x v="2"/>
  </r>
  <r>
    <s v="L00283"/>
    <s v="C0184"/>
    <n v="51"/>
    <n v="35644"/>
    <n v="177669"/>
    <n v="13.93"/>
    <n v="60"/>
    <n v="628"/>
    <x v="1"/>
    <x v="2"/>
    <n v="4128"/>
    <x v="1"/>
    <x v="249"/>
    <s v="Bangalore"/>
    <s v="Salaried"/>
    <s v="High"/>
    <x v="2"/>
  </r>
  <r>
    <s v="L00284"/>
    <s v="C0058"/>
    <n v="26"/>
    <n v="133582"/>
    <n v="325451"/>
    <n v="11.09"/>
    <n v="36"/>
    <n v="814"/>
    <x v="0"/>
    <x v="2"/>
    <n v="10669"/>
    <x v="1"/>
    <x v="250"/>
    <s v="Hyderabad"/>
    <s v="Self-Employed"/>
    <s v="Low"/>
    <x v="1"/>
  </r>
  <r>
    <s v="L00285"/>
    <s v="C0134"/>
    <n v="54"/>
    <n v="191306"/>
    <n v="1369287"/>
    <n v="13.98"/>
    <n v="180"/>
    <n v="464"/>
    <x v="3"/>
    <x v="3"/>
    <n v="18217"/>
    <x v="1"/>
    <x v="251"/>
    <s v="Bangalore"/>
    <s v="Self-Employed"/>
    <s v="Medium"/>
    <x v="0"/>
  </r>
  <r>
    <s v="L00286"/>
    <s v="C0162"/>
    <n v="56"/>
    <n v="82116"/>
    <n v="1353345"/>
    <n v="12.9"/>
    <n v="60"/>
    <n v="576"/>
    <x v="2"/>
    <x v="2"/>
    <n v="30724"/>
    <x v="1"/>
    <x v="252"/>
    <s v="Pune"/>
    <s v="Salaried"/>
    <s v="High"/>
    <x v="0"/>
  </r>
  <r>
    <s v="L00287"/>
    <s v="C0161"/>
    <n v="33"/>
    <n v="61803"/>
    <n v="1429693"/>
    <n v="16.329999999999998"/>
    <n v="180"/>
    <n v="664"/>
    <x v="0"/>
    <x v="0"/>
    <n v="21328"/>
    <x v="1"/>
    <x v="253"/>
    <s v="Delhi"/>
    <s v="Self-Employed"/>
    <s v="High"/>
    <x v="2"/>
  </r>
  <r>
    <s v="L00288"/>
    <s v="C0181"/>
    <n v="31"/>
    <n v="30492"/>
    <n v="1519063"/>
    <n v="8.7200000000000006"/>
    <n v="36"/>
    <n v="705"/>
    <x v="1"/>
    <x v="1"/>
    <n v="48108"/>
    <x v="1"/>
    <x v="254"/>
    <s v="Delhi"/>
    <s v="Business Owner"/>
    <s v="High"/>
    <x v="2"/>
  </r>
  <r>
    <s v="L00289"/>
    <s v="C0044"/>
    <n v="42"/>
    <n v="159540"/>
    <n v="826745"/>
    <n v="15.89"/>
    <n v="36"/>
    <n v="600"/>
    <x v="3"/>
    <x v="3"/>
    <n v="29021"/>
    <x v="1"/>
    <x v="255"/>
    <s v="Bangalore"/>
    <s v="Business Owner"/>
    <s v="Medium"/>
    <x v="2"/>
  </r>
  <r>
    <s v="L00290"/>
    <s v="C0007"/>
    <n v="55"/>
    <n v="32191"/>
    <n v="1543993"/>
    <n v="10.64"/>
    <n v="120"/>
    <n v="680"/>
    <x v="1"/>
    <x v="1"/>
    <n v="20955"/>
    <x v="1"/>
    <x v="256"/>
    <s v="Chennai"/>
    <s v="Salaried"/>
    <s v="High"/>
    <x v="2"/>
  </r>
  <r>
    <s v="L00291"/>
    <s v="C0005"/>
    <n v="43"/>
    <n v="51418"/>
    <n v="860303"/>
    <n v="13.2"/>
    <n v="12"/>
    <n v="523"/>
    <x v="1"/>
    <x v="0"/>
    <n v="76921"/>
    <x v="2"/>
    <x v="247"/>
    <s v="Bangalore"/>
    <s v="Self-Employed"/>
    <s v="High"/>
    <x v="0"/>
  </r>
  <r>
    <s v="L00292"/>
    <s v="C0004"/>
    <n v="30"/>
    <n v="188194"/>
    <n v="1180029"/>
    <n v="12.23"/>
    <n v="24"/>
    <n v="480"/>
    <x v="2"/>
    <x v="3"/>
    <n v="55675"/>
    <x v="1"/>
    <x v="180"/>
    <s v="Chennai"/>
    <s v="Self-Employed"/>
    <s v="Low"/>
    <x v="0"/>
  </r>
  <r>
    <s v="L00293"/>
    <s v="C0181"/>
    <n v="30"/>
    <n v="145920"/>
    <n v="1684123"/>
    <n v="12.38"/>
    <n v="12"/>
    <n v="805"/>
    <x v="2"/>
    <x v="1"/>
    <n v="149932"/>
    <x v="0"/>
    <x v="257"/>
    <s v="Delhi"/>
    <s v="Business Owner"/>
    <s v="High"/>
    <x v="1"/>
  </r>
  <r>
    <s v="L00294"/>
    <s v="C0024"/>
    <n v="30"/>
    <n v="58203"/>
    <n v="1993034"/>
    <n v="11.74"/>
    <n v="240"/>
    <n v="656"/>
    <x v="0"/>
    <x v="0"/>
    <n v="21585"/>
    <x v="1"/>
    <x v="258"/>
    <s v="Delhi"/>
    <s v="Salaried"/>
    <s v="High"/>
    <x v="2"/>
  </r>
  <r>
    <s v="L00295"/>
    <s v="C0033"/>
    <n v="49"/>
    <n v="118054"/>
    <n v="1880190"/>
    <n v="12.27"/>
    <n v="60"/>
    <n v="591"/>
    <x v="1"/>
    <x v="0"/>
    <n v="42081"/>
    <x v="1"/>
    <x v="198"/>
    <s v="Delhi"/>
    <s v="Salaried"/>
    <s v="Low"/>
    <x v="0"/>
  </r>
  <r>
    <s v="L00296"/>
    <s v="C0121"/>
    <n v="31"/>
    <n v="64593"/>
    <n v="1914328"/>
    <n v="15.24"/>
    <n v="12"/>
    <n v="624"/>
    <x v="0"/>
    <x v="1"/>
    <n v="173001"/>
    <x v="0"/>
    <x v="259"/>
    <s v="Pune"/>
    <s v="Business Owner"/>
    <s v="Low"/>
    <x v="2"/>
  </r>
  <r>
    <s v="L00297"/>
    <s v="C0078"/>
    <n v="32"/>
    <n v="97150"/>
    <n v="359647"/>
    <n v="14.53"/>
    <n v="240"/>
    <n v="833"/>
    <x v="1"/>
    <x v="0"/>
    <n v="4611"/>
    <x v="1"/>
    <x v="260"/>
    <s v="Hyderabad"/>
    <s v="Self-Employed"/>
    <s v="Medium"/>
    <x v="1"/>
  </r>
  <r>
    <s v="L00298"/>
    <s v="C0045"/>
    <n v="31"/>
    <n v="144738"/>
    <n v="1956548"/>
    <n v="15.19"/>
    <n v="12"/>
    <n v="634"/>
    <x v="3"/>
    <x v="2"/>
    <n v="176770"/>
    <x v="1"/>
    <x v="136"/>
    <s v="Pune"/>
    <s v="Self-Employed"/>
    <s v="Medium"/>
    <x v="2"/>
  </r>
  <r>
    <s v="L00299"/>
    <s v="C0126"/>
    <n v="48"/>
    <n v="142765"/>
    <n v="1679871"/>
    <n v="13.57"/>
    <n v="240"/>
    <n v="758"/>
    <x v="0"/>
    <x v="2"/>
    <n v="20367"/>
    <x v="1"/>
    <x v="261"/>
    <s v="Chennai"/>
    <s v="Self-Employed"/>
    <s v="Medium"/>
    <x v="1"/>
  </r>
  <r>
    <s v="L00300"/>
    <s v="C0178"/>
    <n v="34"/>
    <n v="147296"/>
    <n v="1248035"/>
    <n v="11.33"/>
    <n v="48"/>
    <n v="480"/>
    <x v="1"/>
    <x v="1"/>
    <n v="32456"/>
    <x v="1"/>
    <x v="186"/>
    <s v="Pune"/>
    <s v="Self-Employed"/>
    <s v="Medium"/>
    <x v="0"/>
  </r>
  <r>
    <s v="L00301"/>
    <s v="C0122"/>
    <n v="50"/>
    <n v="193385"/>
    <n v="725981"/>
    <n v="11.91"/>
    <n v="36"/>
    <n v="721"/>
    <x v="1"/>
    <x v="0"/>
    <n v="24082"/>
    <x v="0"/>
    <x v="262"/>
    <s v="Hyderabad"/>
    <s v="Business Owner"/>
    <s v="High"/>
    <x v="2"/>
  </r>
  <r>
    <s v="L00302"/>
    <s v="C0063"/>
    <n v="51"/>
    <n v="180673"/>
    <n v="1112477"/>
    <n v="9.5500000000000007"/>
    <n v="36"/>
    <n v="725"/>
    <x v="3"/>
    <x v="3"/>
    <n v="35662"/>
    <x v="1"/>
    <x v="263"/>
    <s v="Hyderabad"/>
    <s v="Business Owner"/>
    <s v="High"/>
    <x v="2"/>
  </r>
  <r>
    <s v="L00303"/>
    <s v="C0101"/>
    <n v="40"/>
    <n v="68883"/>
    <n v="1493649"/>
    <n v="10.29"/>
    <n v="60"/>
    <n v="815"/>
    <x v="2"/>
    <x v="1"/>
    <n v="31949"/>
    <x v="0"/>
    <x v="163"/>
    <s v="Mumbai"/>
    <s v="Business Owner"/>
    <s v="High"/>
    <x v="1"/>
  </r>
  <r>
    <s v="L00304"/>
    <s v="C0185"/>
    <n v="50"/>
    <n v="31205"/>
    <n v="1980369"/>
    <n v="11.04"/>
    <n v="180"/>
    <n v="717"/>
    <x v="1"/>
    <x v="1"/>
    <n v="22559"/>
    <x v="1"/>
    <x v="264"/>
    <s v="Bangalore"/>
    <s v="Salaried"/>
    <s v="Medium"/>
    <x v="2"/>
  </r>
  <r>
    <s v="L00305"/>
    <s v="C0103"/>
    <n v="54"/>
    <n v="101839"/>
    <n v="1952792"/>
    <n v="14.94"/>
    <n v="180"/>
    <n v="827"/>
    <x v="3"/>
    <x v="2"/>
    <n v="27251"/>
    <x v="1"/>
    <x v="244"/>
    <s v="Hyderabad"/>
    <s v="Business Owner"/>
    <s v="Low"/>
    <x v="1"/>
  </r>
  <r>
    <s v="L00306"/>
    <s v="C0088"/>
    <n v="54"/>
    <n v="70969"/>
    <n v="842390"/>
    <n v="15.08"/>
    <n v="180"/>
    <n v="458"/>
    <x v="0"/>
    <x v="2"/>
    <n v="11836"/>
    <x v="2"/>
    <x v="265"/>
    <s v="Mumbai"/>
    <s v="Business Owner"/>
    <s v="Medium"/>
    <x v="0"/>
  </r>
  <r>
    <s v="L00307"/>
    <s v="C0197"/>
    <n v="51"/>
    <n v="60252"/>
    <n v="398140"/>
    <n v="13.72"/>
    <n v="120"/>
    <n v="835"/>
    <x v="0"/>
    <x v="1"/>
    <n v="6115"/>
    <x v="0"/>
    <x v="113"/>
    <s v="Pune"/>
    <s v="Self-Employed"/>
    <s v="Low"/>
    <x v="1"/>
  </r>
  <r>
    <s v="L00308"/>
    <s v="C0007"/>
    <n v="59"/>
    <n v="53796"/>
    <n v="850718"/>
    <n v="11.09"/>
    <n v="240"/>
    <n v="512"/>
    <x v="1"/>
    <x v="0"/>
    <n v="8833"/>
    <x v="2"/>
    <x v="166"/>
    <s v="Chennai"/>
    <s v="Salaried"/>
    <s v="High"/>
    <x v="0"/>
  </r>
  <r>
    <s v="L00309"/>
    <s v="C0170"/>
    <n v="49"/>
    <n v="63941"/>
    <n v="184340"/>
    <n v="8.06"/>
    <n v="60"/>
    <n v="609"/>
    <x v="3"/>
    <x v="0"/>
    <n v="3743"/>
    <x v="1"/>
    <x v="266"/>
    <s v="Pune"/>
    <s v="Salaried"/>
    <s v="High"/>
    <x v="2"/>
  </r>
  <r>
    <s v="L00310"/>
    <s v="C0095"/>
    <n v="25"/>
    <n v="48933"/>
    <n v="426314"/>
    <n v="7.51"/>
    <n v="48"/>
    <n v="789"/>
    <x v="1"/>
    <x v="1"/>
    <n v="10310"/>
    <x v="0"/>
    <x v="82"/>
    <s v="Mumbai"/>
    <s v="Self-Employed"/>
    <s v="High"/>
    <x v="1"/>
  </r>
  <r>
    <s v="L00311"/>
    <s v="C0197"/>
    <n v="46"/>
    <n v="69631"/>
    <n v="681729"/>
    <n v="11.33"/>
    <n v="60"/>
    <n v="505"/>
    <x v="3"/>
    <x v="1"/>
    <n v="14935"/>
    <x v="1"/>
    <x v="267"/>
    <s v="Pune"/>
    <s v="Self-Employed"/>
    <s v="Low"/>
    <x v="0"/>
  </r>
  <r>
    <s v="L00312"/>
    <s v="C0102"/>
    <n v="41"/>
    <n v="56271"/>
    <n v="1448173"/>
    <n v="16.329999999999998"/>
    <n v="180"/>
    <n v="842"/>
    <x v="1"/>
    <x v="2"/>
    <n v="21603"/>
    <x v="1"/>
    <x v="139"/>
    <s v="Bangalore"/>
    <s v="Business Owner"/>
    <s v="Medium"/>
    <x v="1"/>
  </r>
  <r>
    <s v="L00313"/>
    <s v="C0039"/>
    <n v="24"/>
    <n v="183171"/>
    <n v="1213952"/>
    <n v="15.27"/>
    <n v="180"/>
    <n v="654"/>
    <x v="1"/>
    <x v="0"/>
    <n v="17215"/>
    <x v="1"/>
    <x v="264"/>
    <s v="Hyderabad"/>
    <s v="Business Owner"/>
    <s v="Medium"/>
    <x v="2"/>
  </r>
  <r>
    <s v="L00314"/>
    <s v="C0036"/>
    <n v="38"/>
    <n v="43216"/>
    <n v="1656254"/>
    <n v="16.46"/>
    <n v="240"/>
    <n v="529"/>
    <x v="1"/>
    <x v="0"/>
    <n v="23616"/>
    <x v="2"/>
    <x v="268"/>
    <s v="Mumbai"/>
    <s v="Salaried"/>
    <s v="Low"/>
    <x v="0"/>
  </r>
  <r>
    <s v="L00315"/>
    <s v="C0008"/>
    <n v="27"/>
    <n v="198133"/>
    <n v="892775"/>
    <n v="12.91"/>
    <n v="36"/>
    <n v="475"/>
    <x v="1"/>
    <x v="3"/>
    <n v="30042"/>
    <x v="2"/>
    <x v="269"/>
    <s v="Delhi"/>
    <s v="Salaried"/>
    <s v="Low"/>
    <x v="0"/>
  </r>
  <r>
    <s v="L00316"/>
    <s v="C0092"/>
    <n v="36"/>
    <n v="131011"/>
    <n v="1094235"/>
    <n v="8.11"/>
    <n v="240"/>
    <n v="537"/>
    <x v="1"/>
    <x v="2"/>
    <n v="9228"/>
    <x v="2"/>
    <x v="138"/>
    <s v="Chennai"/>
    <s v="Business Owner"/>
    <s v="Medium"/>
    <x v="0"/>
  </r>
  <r>
    <s v="L00317"/>
    <s v="C0153"/>
    <n v="26"/>
    <n v="137211"/>
    <n v="1299310"/>
    <n v="14.02"/>
    <n v="120"/>
    <n v="540"/>
    <x v="3"/>
    <x v="2"/>
    <n v="20190"/>
    <x v="1"/>
    <x v="270"/>
    <s v="Bangalore"/>
    <s v="Self-Employed"/>
    <s v="Medium"/>
    <x v="0"/>
  </r>
  <r>
    <s v="L00318"/>
    <s v="C0106"/>
    <n v="25"/>
    <n v="55885"/>
    <n v="1960136"/>
    <n v="16.18"/>
    <n v="120"/>
    <n v="711"/>
    <x v="2"/>
    <x v="3"/>
    <n v="33055"/>
    <x v="1"/>
    <x v="271"/>
    <s v="Mumbai"/>
    <s v="Self-Employed"/>
    <s v="High"/>
    <x v="2"/>
  </r>
  <r>
    <s v="L00319"/>
    <s v="C0132"/>
    <n v="42"/>
    <n v="136023"/>
    <n v="1967437"/>
    <n v="12.39"/>
    <n v="240"/>
    <n v="574"/>
    <x v="3"/>
    <x v="1"/>
    <n v="22200"/>
    <x v="0"/>
    <x v="272"/>
    <s v="Mumbai"/>
    <s v="Self-Employed"/>
    <s v="Medium"/>
    <x v="0"/>
  </r>
  <r>
    <s v="L00320"/>
    <s v="C0188"/>
    <n v="34"/>
    <n v="125319"/>
    <n v="1942794"/>
    <n v="11.19"/>
    <n v="12"/>
    <n v="615"/>
    <x v="2"/>
    <x v="1"/>
    <n v="171880"/>
    <x v="1"/>
    <x v="119"/>
    <s v="Chennai"/>
    <s v="Business Owner"/>
    <s v="Medium"/>
    <x v="2"/>
  </r>
  <r>
    <s v="L00321"/>
    <s v="C0098"/>
    <n v="56"/>
    <n v="107218"/>
    <n v="1190078"/>
    <n v="12.35"/>
    <n v="240"/>
    <n v="815"/>
    <x v="2"/>
    <x v="0"/>
    <n v="13395"/>
    <x v="1"/>
    <x v="95"/>
    <s v="Chennai"/>
    <s v="Business Owner"/>
    <s v="Low"/>
    <x v="1"/>
  </r>
  <r>
    <s v="L00322"/>
    <s v="C0116"/>
    <n v="60"/>
    <n v="156256"/>
    <n v="1048917"/>
    <n v="10.75"/>
    <n v="36"/>
    <n v="568"/>
    <x v="0"/>
    <x v="1"/>
    <n v="34216"/>
    <x v="2"/>
    <x v="273"/>
    <s v="Mumbai"/>
    <s v="Business Owner"/>
    <s v="High"/>
    <x v="0"/>
  </r>
  <r>
    <s v="L00323"/>
    <s v="C0100"/>
    <n v="23"/>
    <n v="80839"/>
    <n v="816107"/>
    <n v="9.44"/>
    <n v="12"/>
    <n v="645"/>
    <x v="0"/>
    <x v="0"/>
    <n v="71536"/>
    <x v="1"/>
    <x v="274"/>
    <s v="Mumbai"/>
    <s v="Salaried"/>
    <s v="High"/>
    <x v="2"/>
  </r>
  <r>
    <s v="L00324"/>
    <s v="C0046"/>
    <n v="41"/>
    <n v="192919"/>
    <n v="1656110"/>
    <n v="13.43"/>
    <n v="36"/>
    <n v="731"/>
    <x v="2"/>
    <x v="1"/>
    <n v="56145"/>
    <x v="1"/>
    <x v="275"/>
    <s v="Pune"/>
    <s v="Salaried"/>
    <s v="High"/>
    <x v="2"/>
  </r>
  <r>
    <s v="L00325"/>
    <s v="C0175"/>
    <n v="37"/>
    <n v="26431"/>
    <n v="952825"/>
    <n v="8.6999999999999993"/>
    <n v="48"/>
    <n v="744"/>
    <x v="0"/>
    <x v="3"/>
    <n v="23576"/>
    <x v="1"/>
    <x v="276"/>
    <s v="Delhi"/>
    <s v="Self-Employed"/>
    <s v="High"/>
    <x v="2"/>
  </r>
  <r>
    <s v="L00326"/>
    <s v="C0044"/>
    <n v="28"/>
    <n v="173925"/>
    <n v="169039"/>
    <n v="9.52"/>
    <n v="120"/>
    <n v="754"/>
    <x v="1"/>
    <x v="3"/>
    <n v="2189"/>
    <x v="0"/>
    <x v="34"/>
    <s v="Bangalore"/>
    <s v="Business Owner"/>
    <s v="Medium"/>
    <x v="1"/>
  </r>
  <r>
    <s v="L00327"/>
    <s v="C0066"/>
    <n v="56"/>
    <n v="35876"/>
    <n v="1067746"/>
    <n v="16.260000000000002"/>
    <n v="60"/>
    <n v="645"/>
    <x v="1"/>
    <x v="3"/>
    <n v="26113"/>
    <x v="1"/>
    <x v="277"/>
    <s v="Pune"/>
    <s v="Business Owner"/>
    <s v="High"/>
    <x v="2"/>
  </r>
  <r>
    <s v="L00328"/>
    <s v="C0119"/>
    <n v="52"/>
    <n v="58547"/>
    <n v="1070034"/>
    <n v="13.17"/>
    <n v="60"/>
    <n v="637"/>
    <x v="0"/>
    <x v="1"/>
    <n v="24440"/>
    <x v="1"/>
    <x v="278"/>
    <s v="Bangalore"/>
    <s v="Salaried"/>
    <s v="Low"/>
    <x v="2"/>
  </r>
  <r>
    <s v="L00329"/>
    <s v="C0187"/>
    <n v="44"/>
    <n v="128421"/>
    <n v="1236138"/>
    <n v="15.5"/>
    <n v="48"/>
    <n v="682"/>
    <x v="2"/>
    <x v="2"/>
    <n v="34717"/>
    <x v="1"/>
    <x v="279"/>
    <s v="Mumbai"/>
    <s v="Salaried"/>
    <s v="High"/>
    <x v="2"/>
  </r>
  <r>
    <s v="L00330"/>
    <s v="C0157"/>
    <n v="23"/>
    <n v="171133"/>
    <n v="1246912"/>
    <n v="14.09"/>
    <n v="36"/>
    <n v="478"/>
    <x v="0"/>
    <x v="2"/>
    <n v="42671"/>
    <x v="1"/>
    <x v="280"/>
    <s v="Pune"/>
    <s v="Self-Employed"/>
    <s v="Low"/>
    <x v="0"/>
  </r>
  <r>
    <s v="L00331"/>
    <s v="C0079"/>
    <n v="36"/>
    <n v="185377"/>
    <n v="1054162"/>
    <n v="13.57"/>
    <n v="12"/>
    <n v="572"/>
    <x v="1"/>
    <x v="2"/>
    <n v="94437"/>
    <x v="0"/>
    <x v="281"/>
    <s v="Delhi"/>
    <s v="Business Owner"/>
    <s v="High"/>
    <x v="0"/>
  </r>
  <r>
    <s v="L00332"/>
    <s v="C0143"/>
    <n v="45"/>
    <n v="195743"/>
    <n v="829249"/>
    <n v="8.9700000000000006"/>
    <n v="120"/>
    <n v="543"/>
    <x v="3"/>
    <x v="0"/>
    <n v="10491"/>
    <x v="2"/>
    <x v="282"/>
    <s v="Hyderabad"/>
    <s v="Business Owner"/>
    <s v="Medium"/>
    <x v="0"/>
  </r>
  <r>
    <s v="L00333"/>
    <s v="C0056"/>
    <n v="45"/>
    <n v="156547"/>
    <n v="1168171"/>
    <n v="10.76"/>
    <n v="24"/>
    <n v="735"/>
    <x v="2"/>
    <x v="2"/>
    <n v="54316"/>
    <x v="0"/>
    <x v="283"/>
    <s v="Chennai"/>
    <s v="Self-Employed"/>
    <s v="Medium"/>
    <x v="2"/>
  </r>
  <r>
    <s v="L00334"/>
    <s v="C0013"/>
    <n v="23"/>
    <n v="80552"/>
    <n v="663394"/>
    <n v="14"/>
    <n v="180"/>
    <n v="784"/>
    <x v="0"/>
    <x v="1"/>
    <n v="8835"/>
    <x v="1"/>
    <x v="284"/>
    <s v="Bangalore"/>
    <s v="Business Owner"/>
    <s v="High"/>
    <x v="1"/>
  </r>
  <r>
    <s v="L00335"/>
    <s v="C0103"/>
    <n v="51"/>
    <n v="173823"/>
    <n v="660147"/>
    <n v="13.79"/>
    <n v="36"/>
    <n v="640"/>
    <x v="2"/>
    <x v="2"/>
    <n v="22495"/>
    <x v="0"/>
    <x v="22"/>
    <s v="Hyderabad"/>
    <s v="Business Owner"/>
    <s v="Low"/>
    <x v="2"/>
  </r>
  <r>
    <s v="L00336"/>
    <s v="C0138"/>
    <n v="32"/>
    <n v="184078"/>
    <n v="1536928"/>
    <n v="10.79"/>
    <n v="60"/>
    <n v="569"/>
    <x v="2"/>
    <x v="0"/>
    <n v="33256"/>
    <x v="2"/>
    <x v="285"/>
    <s v="Delhi"/>
    <s v="Self-Employed"/>
    <s v="Medium"/>
    <x v="0"/>
  </r>
  <r>
    <s v="L00337"/>
    <s v="C0049"/>
    <n v="58"/>
    <n v="131773"/>
    <n v="916478"/>
    <n v="15.87"/>
    <n v="180"/>
    <n v="754"/>
    <x v="0"/>
    <x v="2"/>
    <n v="13377"/>
    <x v="0"/>
    <x v="286"/>
    <s v="Mumbai"/>
    <s v="Business Owner"/>
    <s v="Medium"/>
    <x v="1"/>
  </r>
  <r>
    <s v="L00338"/>
    <s v="C0047"/>
    <n v="27"/>
    <n v="146820"/>
    <n v="469136"/>
    <n v="11.25"/>
    <n v="12"/>
    <n v="802"/>
    <x v="2"/>
    <x v="0"/>
    <n v="41518"/>
    <x v="1"/>
    <x v="287"/>
    <s v="Chennai"/>
    <s v="Self-Employed"/>
    <s v="High"/>
    <x v="1"/>
  </r>
  <r>
    <s v="L00339"/>
    <s v="C0066"/>
    <n v="43"/>
    <n v="37279"/>
    <n v="118762"/>
    <n v="13.86"/>
    <n v="120"/>
    <n v="756"/>
    <x v="1"/>
    <x v="0"/>
    <n v="1834"/>
    <x v="1"/>
    <x v="288"/>
    <s v="Pune"/>
    <s v="Business Owner"/>
    <s v="High"/>
    <x v="1"/>
  </r>
  <r>
    <s v="L00340"/>
    <s v="C0006"/>
    <n v="54"/>
    <n v="70920"/>
    <n v="1533840"/>
    <n v="11.5"/>
    <n v="240"/>
    <n v="512"/>
    <x v="0"/>
    <x v="0"/>
    <n v="16357"/>
    <x v="0"/>
    <x v="289"/>
    <s v="Bangalore"/>
    <s v="Salaried"/>
    <s v="Medium"/>
    <x v="0"/>
  </r>
  <r>
    <s v="L00341"/>
    <s v="C0080"/>
    <n v="25"/>
    <n v="100184"/>
    <n v="1832603"/>
    <n v="10.17"/>
    <n v="60"/>
    <n v="669"/>
    <x v="1"/>
    <x v="0"/>
    <n v="39091"/>
    <x v="1"/>
    <x v="290"/>
    <s v="Mumbai"/>
    <s v="Business Owner"/>
    <s v="High"/>
    <x v="2"/>
  </r>
  <r>
    <s v="L00342"/>
    <s v="C0066"/>
    <n v="51"/>
    <n v="112760"/>
    <n v="1574259"/>
    <n v="15.93"/>
    <n v="60"/>
    <n v="566"/>
    <x v="1"/>
    <x v="0"/>
    <n v="38224"/>
    <x v="2"/>
    <x v="120"/>
    <s v="Pune"/>
    <s v="Business Owner"/>
    <s v="High"/>
    <x v="0"/>
  </r>
  <r>
    <s v="L00343"/>
    <s v="C0082"/>
    <n v="51"/>
    <n v="132147"/>
    <n v="521135"/>
    <n v="13.36"/>
    <n v="120"/>
    <n v="655"/>
    <x v="1"/>
    <x v="0"/>
    <n v="7892"/>
    <x v="1"/>
    <x v="291"/>
    <s v="Bangalore"/>
    <s v="Self-Employed"/>
    <s v="Low"/>
    <x v="2"/>
  </r>
  <r>
    <s v="L00344"/>
    <s v="C0072"/>
    <n v="23"/>
    <n v="149518"/>
    <n v="727103"/>
    <n v="14.31"/>
    <n v="180"/>
    <n v="581"/>
    <x v="1"/>
    <x v="0"/>
    <n v="9835"/>
    <x v="0"/>
    <x v="292"/>
    <s v="Bangalore"/>
    <s v="Self-Employed"/>
    <s v="Medium"/>
    <x v="0"/>
  </r>
  <r>
    <s v="L00345"/>
    <s v="C0038"/>
    <n v="30"/>
    <n v="179326"/>
    <n v="527394"/>
    <n v="14.2"/>
    <n v="12"/>
    <n v="572"/>
    <x v="0"/>
    <x v="2"/>
    <n v="47403"/>
    <x v="2"/>
    <x v="293"/>
    <s v="Chennai"/>
    <s v="Salaried"/>
    <s v="Medium"/>
    <x v="0"/>
  </r>
  <r>
    <s v="L00346"/>
    <s v="C0199"/>
    <n v="59"/>
    <n v="173637"/>
    <n v="664080"/>
    <n v="14.64"/>
    <n v="60"/>
    <n v="640"/>
    <x v="0"/>
    <x v="3"/>
    <n v="15673"/>
    <x v="0"/>
    <x v="294"/>
    <s v="Hyderabad"/>
    <s v="Business Owner"/>
    <s v="High"/>
    <x v="2"/>
  </r>
  <r>
    <s v="L00347"/>
    <s v="C0138"/>
    <n v="31"/>
    <n v="186275"/>
    <n v="665281"/>
    <n v="9.2200000000000006"/>
    <n v="180"/>
    <n v="786"/>
    <x v="1"/>
    <x v="0"/>
    <n v="6835"/>
    <x v="1"/>
    <x v="295"/>
    <s v="Delhi"/>
    <s v="Self-Employed"/>
    <s v="Medium"/>
    <x v="1"/>
  </r>
  <r>
    <s v="L00348"/>
    <s v="C0182"/>
    <n v="34"/>
    <n v="46378"/>
    <n v="1117705"/>
    <n v="7.69"/>
    <n v="180"/>
    <n v="473"/>
    <x v="1"/>
    <x v="1"/>
    <n v="10482"/>
    <x v="2"/>
    <x v="150"/>
    <s v="Delhi"/>
    <s v="Business Owner"/>
    <s v="High"/>
    <x v="0"/>
  </r>
  <r>
    <s v="L00349"/>
    <s v="C0054"/>
    <n v="25"/>
    <n v="176340"/>
    <n v="843268"/>
    <n v="9.36"/>
    <n v="240"/>
    <n v="777"/>
    <x v="3"/>
    <x v="0"/>
    <n v="7783"/>
    <x v="1"/>
    <x v="167"/>
    <s v="Pune"/>
    <s v="Self-Employed"/>
    <s v="Low"/>
    <x v="1"/>
  </r>
  <r>
    <s v="L00350"/>
    <s v="C0018"/>
    <n v="58"/>
    <n v="140529"/>
    <n v="1681170"/>
    <n v="9.9499999999999993"/>
    <n v="120"/>
    <n v="723"/>
    <x v="1"/>
    <x v="0"/>
    <n v="22170"/>
    <x v="1"/>
    <x v="101"/>
    <s v="Delhi"/>
    <s v="Self-Employed"/>
    <s v="Medium"/>
    <x v="2"/>
  </r>
  <r>
    <s v="L00351"/>
    <s v="C0191"/>
    <n v="25"/>
    <n v="77060"/>
    <n v="1474131"/>
    <n v="10.8"/>
    <n v="12"/>
    <n v="719"/>
    <x v="0"/>
    <x v="0"/>
    <n v="130149"/>
    <x v="0"/>
    <x v="296"/>
    <s v="Bangalore"/>
    <s v="Self-Employed"/>
    <s v="Low"/>
    <x v="2"/>
  </r>
  <r>
    <s v="L00352"/>
    <s v="C0137"/>
    <n v="60"/>
    <n v="177791"/>
    <n v="912043"/>
    <n v="12.42"/>
    <n v="36"/>
    <n v="634"/>
    <x v="0"/>
    <x v="1"/>
    <n v="30476"/>
    <x v="0"/>
    <x v="297"/>
    <s v="Bangalore"/>
    <s v="Salaried"/>
    <s v="Medium"/>
    <x v="2"/>
  </r>
  <r>
    <s v="L00353"/>
    <s v="C0092"/>
    <n v="34"/>
    <n v="97183"/>
    <n v="463117"/>
    <n v="7.6"/>
    <n v="48"/>
    <n v="666"/>
    <x v="3"/>
    <x v="3"/>
    <n v="11219"/>
    <x v="1"/>
    <x v="215"/>
    <s v="Chennai"/>
    <s v="Business Owner"/>
    <s v="Medium"/>
    <x v="2"/>
  </r>
  <r>
    <s v="L00354"/>
    <s v="C0186"/>
    <n v="60"/>
    <n v="196316"/>
    <n v="599199"/>
    <n v="16.22"/>
    <n v="24"/>
    <n v="789"/>
    <x v="3"/>
    <x v="3"/>
    <n v="29402"/>
    <x v="0"/>
    <x v="245"/>
    <s v="Hyderabad"/>
    <s v="Salaried"/>
    <s v="High"/>
    <x v="1"/>
  </r>
  <r>
    <s v="L00355"/>
    <s v="C0083"/>
    <n v="44"/>
    <n v="167058"/>
    <n v="1306744"/>
    <n v="10.36"/>
    <n v="24"/>
    <n v="612"/>
    <x v="2"/>
    <x v="1"/>
    <n v="60517"/>
    <x v="1"/>
    <x v="298"/>
    <s v="Hyderabad"/>
    <s v="Self-Employed"/>
    <s v="Low"/>
    <x v="2"/>
  </r>
  <r>
    <s v="L00356"/>
    <s v="C0064"/>
    <n v="26"/>
    <n v="104153"/>
    <n v="1169291"/>
    <n v="7.51"/>
    <n v="240"/>
    <n v="491"/>
    <x v="3"/>
    <x v="2"/>
    <n v="9427"/>
    <x v="1"/>
    <x v="66"/>
    <s v="Pune"/>
    <s v="Self-Employed"/>
    <s v="Low"/>
    <x v="0"/>
  </r>
  <r>
    <s v="L00357"/>
    <s v="C0044"/>
    <n v="58"/>
    <n v="57422"/>
    <n v="1223093"/>
    <n v="9.9700000000000006"/>
    <n v="48"/>
    <n v="628"/>
    <x v="2"/>
    <x v="1"/>
    <n v="31003"/>
    <x v="0"/>
    <x v="299"/>
    <s v="Bangalore"/>
    <s v="Business Owner"/>
    <s v="Medium"/>
    <x v="2"/>
  </r>
  <r>
    <s v="L00358"/>
    <s v="C0157"/>
    <n v="52"/>
    <n v="26536"/>
    <n v="1743569"/>
    <n v="11.83"/>
    <n v="48"/>
    <n v="473"/>
    <x v="0"/>
    <x v="3"/>
    <n v="45769"/>
    <x v="1"/>
    <x v="300"/>
    <s v="Pune"/>
    <s v="Self-Employed"/>
    <s v="Low"/>
    <x v="0"/>
  </r>
  <r>
    <s v="L00359"/>
    <s v="C0157"/>
    <n v="23"/>
    <n v="153497"/>
    <n v="232298"/>
    <n v="9"/>
    <n v="24"/>
    <n v="476"/>
    <x v="1"/>
    <x v="1"/>
    <n v="10612"/>
    <x v="2"/>
    <x v="301"/>
    <s v="Pune"/>
    <s v="Self-Employed"/>
    <s v="Low"/>
    <x v="0"/>
  </r>
  <r>
    <s v="L00360"/>
    <s v="C0122"/>
    <n v="37"/>
    <n v="107740"/>
    <n v="1579631"/>
    <n v="8.0500000000000007"/>
    <n v="36"/>
    <n v="685"/>
    <x v="3"/>
    <x v="1"/>
    <n v="49536"/>
    <x v="1"/>
    <x v="258"/>
    <s v="Hyderabad"/>
    <s v="Business Owner"/>
    <s v="High"/>
    <x v="2"/>
  </r>
  <r>
    <s v="L00361"/>
    <s v="C0151"/>
    <n v="41"/>
    <n v="124397"/>
    <n v="602988"/>
    <n v="9.51"/>
    <n v="60"/>
    <n v="524"/>
    <x v="2"/>
    <x v="1"/>
    <n v="12667"/>
    <x v="0"/>
    <x v="32"/>
    <s v="Delhi"/>
    <s v="Business Owner"/>
    <s v="Low"/>
    <x v="0"/>
  </r>
  <r>
    <s v="L00362"/>
    <s v="C0059"/>
    <n v="57"/>
    <n v="104848"/>
    <n v="569958"/>
    <n v="11.62"/>
    <n v="60"/>
    <n v="535"/>
    <x v="0"/>
    <x v="1"/>
    <n v="12569"/>
    <x v="1"/>
    <x v="302"/>
    <s v="Chennai"/>
    <s v="Self-Employed"/>
    <s v="Medium"/>
    <x v="0"/>
  </r>
  <r>
    <s v="L00363"/>
    <s v="C0014"/>
    <n v="30"/>
    <n v="194421"/>
    <n v="1467643"/>
    <n v="11.07"/>
    <n v="180"/>
    <n v="787"/>
    <x v="1"/>
    <x v="2"/>
    <n v="16746"/>
    <x v="0"/>
    <x v="303"/>
    <s v="Mumbai"/>
    <s v="Salaried"/>
    <s v="Low"/>
    <x v="1"/>
  </r>
  <r>
    <s v="L00364"/>
    <s v="C0011"/>
    <n v="59"/>
    <n v="196340"/>
    <n v="1972529"/>
    <n v="7.64"/>
    <n v="240"/>
    <n v="502"/>
    <x v="2"/>
    <x v="1"/>
    <n v="16060"/>
    <x v="2"/>
    <x v="6"/>
    <s v="Chennai"/>
    <s v="Business Owner"/>
    <s v="High"/>
    <x v="0"/>
  </r>
  <r>
    <s v="L00365"/>
    <s v="C0060"/>
    <n v="39"/>
    <n v="48562"/>
    <n v="1344853"/>
    <n v="11.69"/>
    <n v="12"/>
    <n v="652"/>
    <x v="1"/>
    <x v="1"/>
    <n v="119294"/>
    <x v="1"/>
    <x v="304"/>
    <s v="Mumbai"/>
    <s v="Self-Employed"/>
    <s v="High"/>
    <x v="2"/>
  </r>
  <r>
    <s v="L00366"/>
    <s v="C0003"/>
    <n v="26"/>
    <n v="130522"/>
    <n v="437778"/>
    <n v="8.3000000000000007"/>
    <n v="60"/>
    <n v="783"/>
    <x v="2"/>
    <x v="3"/>
    <n v="8940"/>
    <x v="1"/>
    <x v="305"/>
    <s v="Pune"/>
    <s v="Self-Employed"/>
    <s v="Low"/>
    <x v="1"/>
  </r>
  <r>
    <s v="L00367"/>
    <s v="C0127"/>
    <n v="25"/>
    <n v="158213"/>
    <n v="1172854"/>
    <n v="15.51"/>
    <n v="120"/>
    <n v="581"/>
    <x v="2"/>
    <x v="2"/>
    <n v="19290"/>
    <x v="1"/>
    <x v="306"/>
    <s v="Delhi"/>
    <s v="Salaried"/>
    <s v="Medium"/>
    <x v="0"/>
  </r>
  <r>
    <s v="L00368"/>
    <s v="C0149"/>
    <n v="43"/>
    <n v="35066"/>
    <n v="1942918"/>
    <n v="9.32"/>
    <n v="180"/>
    <n v="718"/>
    <x v="1"/>
    <x v="2"/>
    <n v="20078"/>
    <x v="1"/>
    <x v="300"/>
    <s v="Hyderabad"/>
    <s v="Salaried"/>
    <s v="Medium"/>
    <x v="2"/>
  </r>
  <r>
    <s v="L00369"/>
    <s v="C0035"/>
    <n v="23"/>
    <n v="34465"/>
    <n v="1165320"/>
    <n v="10.64"/>
    <n v="36"/>
    <n v="723"/>
    <x v="1"/>
    <x v="3"/>
    <n v="37953"/>
    <x v="0"/>
    <x v="111"/>
    <s v="Delhi"/>
    <s v="Business Owner"/>
    <s v="Low"/>
    <x v="2"/>
  </r>
  <r>
    <s v="L00370"/>
    <s v="C0015"/>
    <n v="52"/>
    <n v="119479"/>
    <n v="391179"/>
    <n v="9.5500000000000007"/>
    <n v="120"/>
    <n v="556"/>
    <x v="3"/>
    <x v="0"/>
    <n v="5072"/>
    <x v="1"/>
    <x v="307"/>
    <s v="Delhi"/>
    <s v="Salaried"/>
    <s v="High"/>
    <x v="0"/>
  </r>
  <r>
    <s v="L00371"/>
    <s v="C0077"/>
    <n v="51"/>
    <n v="62543"/>
    <n v="251475"/>
    <n v="8.83"/>
    <n v="12"/>
    <n v="766"/>
    <x v="2"/>
    <x v="3"/>
    <n v="21972"/>
    <x v="1"/>
    <x v="308"/>
    <s v="Chennai"/>
    <s v="Business Owner"/>
    <s v="High"/>
    <x v="1"/>
  </r>
  <r>
    <s v="L00372"/>
    <s v="C0052"/>
    <n v="25"/>
    <n v="128570"/>
    <n v="1604039"/>
    <n v="16.32"/>
    <n v="60"/>
    <n v="505"/>
    <x v="2"/>
    <x v="1"/>
    <n v="39280"/>
    <x v="1"/>
    <x v="309"/>
    <s v="Bangalore"/>
    <s v="Salaried"/>
    <s v="Medium"/>
    <x v="0"/>
  </r>
  <r>
    <s v="L00373"/>
    <s v="C0068"/>
    <n v="53"/>
    <n v="169589"/>
    <n v="1478938"/>
    <n v="10.77"/>
    <n v="24"/>
    <n v="770"/>
    <x v="2"/>
    <x v="1"/>
    <n v="68772"/>
    <x v="1"/>
    <x v="310"/>
    <s v="Delhi"/>
    <s v="Self-Employed"/>
    <s v="Low"/>
    <x v="1"/>
  </r>
  <r>
    <s v="L00374"/>
    <s v="C0156"/>
    <n v="45"/>
    <n v="94168"/>
    <n v="277688"/>
    <n v="7.64"/>
    <n v="180"/>
    <n v="471"/>
    <x v="3"/>
    <x v="0"/>
    <n v="2596"/>
    <x v="0"/>
    <x v="311"/>
    <s v="Mumbai"/>
    <s v="Self-Employed"/>
    <s v="Low"/>
    <x v="0"/>
  </r>
  <r>
    <s v="L00375"/>
    <s v="C0065"/>
    <n v="24"/>
    <n v="125938"/>
    <n v="1373907"/>
    <n v="13.63"/>
    <n v="120"/>
    <n v="510"/>
    <x v="3"/>
    <x v="2"/>
    <n v="21028"/>
    <x v="2"/>
    <x v="312"/>
    <s v="Bangalore"/>
    <s v="Business Owner"/>
    <s v="High"/>
    <x v="0"/>
  </r>
  <r>
    <s v="L00376"/>
    <s v="C0057"/>
    <n v="59"/>
    <n v="156379"/>
    <n v="750199"/>
    <n v="11.91"/>
    <n v="240"/>
    <n v="777"/>
    <x v="3"/>
    <x v="0"/>
    <n v="8213"/>
    <x v="0"/>
    <x v="313"/>
    <s v="Mumbai"/>
    <s v="Business Owner"/>
    <s v="High"/>
    <x v="1"/>
  </r>
  <r>
    <s v="L00377"/>
    <s v="C0195"/>
    <n v="29"/>
    <n v="53435"/>
    <n v="474437"/>
    <n v="15.72"/>
    <n v="12"/>
    <n v="758"/>
    <x v="1"/>
    <x v="1"/>
    <n v="42983"/>
    <x v="1"/>
    <x v="314"/>
    <s v="Pune"/>
    <s v="Self-Employed"/>
    <s v="Medium"/>
    <x v="1"/>
  </r>
  <r>
    <s v="L00378"/>
    <s v="C0192"/>
    <n v="59"/>
    <n v="45369"/>
    <n v="1427660"/>
    <n v="11.19"/>
    <n v="240"/>
    <n v="668"/>
    <x v="3"/>
    <x v="1"/>
    <n v="14921"/>
    <x v="1"/>
    <x v="315"/>
    <s v="Hyderabad"/>
    <s v="Business Owner"/>
    <s v="High"/>
    <x v="2"/>
  </r>
  <r>
    <s v="L00379"/>
    <s v="C0040"/>
    <n v="24"/>
    <n v="61732"/>
    <n v="1820128"/>
    <n v="7.54"/>
    <n v="48"/>
    <n v="667"/>
    <x v="2"/>
    <x v="1"/>
    <n v="44043"/>
    <x v="1"/>
    <x v="251"/>
    <s v="Chennai"/>
    <s v="Business Owner"/>
    <s v="Low"/>
    <x v="2"/>
  </r>
  <r>
    <s v="L00380"/>
    <s v="C0023"/>
    <n v="40"/>
    <n v="156228"/>
    <n v="779098"/>
    <n v="9.6999999999999993"/>
    <n v="24"/>
    <n v="706"/>
    <x v="3"/>
    <x v="2"/>
    <n v="35844"/>
    <x v="1"/>
    <x v="316"/>
    <s v="Bangalore"/>
    <s v="Salaried"/>
    <s v="Medium"/>
    <x v="2"/>
  </r>
  <r>
    <s v="L00381"/>
    <s v="C0156"/>
    <n v="40"/>
    <n v="51072"/>
    <n v="1529260"/>
    <n v="16.41"/>
    <n v="120"/>
    <n v="534"/>
    <x v="2"/>
    <x v="0"/>
    <n v="26009"/>
    <x v="1"/>
    <x v="317"/>
    <s v="Mumbai"/>
    <s v="Self-Employed"/>
    <s v="Low"/>
    <x v="0"/>
  </r>
  <r>
    <s v="L00382"/>
    <s v="C0001"/>
    <n v="52"/>
    <n v="94152"/>
    <n v="462620"/>
    <n v="15.57"/>
    <n v="120"/>
    <n v="620"/>
    <x v="3"/>
    <x v="2"/>
    <n v="7626"/>
    <x v="1"/>
    <x v="318"/>
    <s v="Delhi"/>
    <s v="Self-Employed"/>
    <s v="High"/>
    <x v="2"/>
  </r>
  <r>
    <s v="L00383"/>
    <s v="C0146"/>
    <n v="60"/>
    <n v="173680"/>
    <n v="1569372"/>
    <n v="14.91"/>
    <n v="24"/>
    <n v="792"/>
    <x v="1"/>
    <x v="2"/>
    <n v="76026"/>
    <x v="1"/>
    <x v="319"/>
    <s v="Delhi"/>
    <s v="Salaried"/>
    <s v="Low"/>
    <x v="1"/>
  </r>
  <r>
    <s v="L00384"/>
    <s v="C0109"/>
    <n v="25"/>
    <n v="77869"/>
    <n v="714636"/>
    <n v="15.49"/>
    <n v="180"/>
    <n v="810"/>
    <x v="1"/>
    <x v="2"/>
    <n v="10243"/>
    <x v="0"/>
    <x v="320"/>
    <s v="Pune"/>
    <s v="Business Owner"/>
    <s v="High"/>
    <x v="1"/>
  </r>
  <r>
    <s v="L00385"/>
    <s v="C0131"/>
    <n v="45"/>
    <n v="42102"/>
    <n v="604472"/>
    <n v="14.93"/>
    <n v="120"/>
    <n v="757"/>
    <x v="0"/>
    <x v="0"/>
    <n v="9726"/>
    <x v="1"/>
    <x v="28"/>
    <s v="Bangalore"/>
    <s v="Salaried"/>
    <s v="Low"/>
    <x v="1"/>
  </r>
  <r>
    <s v="L00386"/>
    <s v="C0163"/>
    <n v="29"/>
    <n v="72998"/>
    <n v="403870"/>
    <n v="10.16"/>
    <n v="60"/>
    <n v="507"/>
    <x v="0"/>
    <x v="3"/>
    <n v="8613"/>
    <x v="0"/>
    <x v="321"/>
    <s v="Pune"/>
    <s v="Self-Employed"/>
    <s v="Medium"/>
    <x v="0"/>
  </r>
  <r>
    <s v="L00387"/>
    <s v="C0096"/>
    <n v="48"/>
    <n v="162677"/>
    <n v="1131281"/>
    <n v="8.9"/>
    <n v="48"/>
    <n v="501"/>
    <x v="2"/>
    <x v="0"/>
    <n v="28098"/>
    <x v="1"/>
    <x v="79"/>
    <s v="Mumbai"/>
    <s v="Salaried"/>
    <s v="Low"/>
    <x v="0"/>
  </r>
  <r>
    <s v="L00388"/>
    <s v="C0091"/>
    <n v="32"/>
    <n v="64361"/>
    <n v="1014930"/>
    <n v="10.9"/>
    <n v="36"/>
    <n v="725"/>
    <x v="0"/>
    <x v="1"/>
    <n v="33179"/>
    <x v="0"/>
    <x v="322"/>
    <s v="Chennai"/>
    <s v="Salaried"/>
    <s v="Low"/>
    <x v="2"/>
  </r>
  <r>
    <s v="L00389"/>
    <s v="C0026"/>
    <n v="31"/>
    <n v="116360"/>
    <n v="942001"/>
    <n v="10.23"/>
    <n v="24"/>
    <n v="744"/>
    <x v="2"/>
    <x v="1"/>
    <n v="43569"/>
    <x v="1"/>
    <x v="323"/>
    <s v="Mumbai"/>
    <s v="Business Owner"/>
    <s v="High"/>
    <x v="2"/>
  </r>
  <r>
    <s v="L00390"/>
    <s v="C0196"/>
    <n v="49"/>
    <n v="186158"/>
    <n v="825266"/>
    <n v="15.64"/>
    <n v="12"/>
    <n v="664"/>
    <x v="0"/>
    <x v="3"/>
    <n v="74737"/>
    <x v="1"/>
    <x v="324"/>
    <s v="Pune"/>
    <s v="Business Owner"/>
    <s v="Medium"/>
    <x v="2"/>
  </r>
  <r>
    <s v="L00391"/>
    <s v="C0179"/>
    <n v="50"/>
    <n v="138282"/>
    <n v="430192"/>
    <n v="9.57"/>
    <n v="120"/>
    <n v="597"/>
    <x v="3"/>
    <x v="0"/>
    <n v="5583"/>
    <x v="0"/>
    <x v="325"/>
    <s v="Mumbai"/>
    <s v="Salaried"/>
    <s v="Low"/>
    <x v="0"/>
  </r>
  <r>
    <s v="L00392"/>
    <s v="C0152"/>
    <n v="52"/>
    <n v="69073"/>
    <n v="1967787"/>
    <n v="11.36"/>
    <n v="48"/>
    <n v="690"/>
    <x v="1"/>
    <x v="1"/>
    <n v="51203"/>
    <x v="1"/>
    <x v="218"/>
    <s v="Hyderabad"/>
    <s v="Business Owner"/>
    <s v="High"/>
    <x v="2"/>
  </r>
  <r>
    <s v="L00393"/>
    <s v="C0103"/>
    <n v="59"/>
    <n v="46833"/>
    <n v="1361046"/>
    <n v="13.15"/>
    <n v="120"/>
    <n v="713"/>
    <x v="3"/>
    <x v="2"/>
    <n v="20442"/>
    <x v="1"/>
    <x v="326"/>
    <s v="Hyderabad"/>
    <s v="Business Owner"/>
    <s v="Low"/>
    <x v="2"/>
  </r>
  <r>
    <s v="L00394"/>
    <s v="C0120"/>
    <n v="26"/>
    <n v="157580"/>
    <n v="468501"/>
    <n v="12.12"/>
    <n v="36"/>
    <n v="611"/>
    <x v="2"/>
    <x v="3"/>
    <n v="15588"/>
    <x v="1"/>
    <x v="327"/>
    <s v="Pune"/>
    <s v="Salaried"/>
    <s v="Medium"/>
    <x v="2"/>
  </r>
  <r>
    <s v="L00395"/>
    <s v="C0086"/>
    <n v="51"/>
    <n v="118808"/>
    <n v="1326611"/>
    <n v="12.92"/>
    <n v="120"/>
    <n v="591"/>
    <x v="0"/>
    <x v="2"/>
    <n v="19745"/>
    <x v="1"/>
    <x v="1"/>
    <s v="Hyderabad"/>
    <s v="Salaried"/>
    <s v="High"/>
    <x v="0"/>
  </r>
  <r>
    <s v="L00396"/>
    <s v="C0086"/>
    <n v="56"/>
    <n v="174553"/>
    <n v="1375725"/>
    <n v="10.55"/>
    <n v="24"/>
    <n v="588"/>
    <x v="1"/>
    <x v="1"/>
    <n v="63833"/>
    <x v="0"/>
    <x v="328"/>
    <s v="Hyderabad"/>
    <s v="Salaried"/>
    <s v="High"/>
    <x v="0"/>
  </r>
  <r>
    <s v="L00397"/>
    <s v="C0151"/>
    <n v="45"/>
    <n v="104705"/>
    <n v="1086623"/>
    <n v="13.16"/>
    <n v="60"/>
    <n v="490"/>
    <x v="2"/>
    <x v="3"/>
    <n v="24813"/>
    <x v="0"/>
    <x v="329"/>
    <s v="Delhi"/>
    <s v="Business Owner"/>
    <s v="Low"/>
    <x v="0"/>
  </r>
  <r>
    <s v="L00398"/>
    <s v="C0140"/>
    <n v="27"/>
    <n v="152311"/>
    <n v="1656907"/>
    <n v="15.86"/>
    <n v="240"/>
    <n v="517"/>
    <x v="1"/>
    <x v="2"/>
    <n v="22878"/>
    <x v="1"/>
    <x v="330"/>
    <s v="Pune"/>
    <s v="Self-Employed"/>
    <s v="Medium"/>
    <x v="0"/>
  </r>
  <r>
    <s v="L00399"/>
    <s v="C0059"/>
    <n v="27"/>
    <n v="134767"/>
    <n v="875430"/>
    <n v="11.27"/>
    <n v="60"/>
    <n v="848"/>
    <x v="3"/>
    <x v="3"/>
    <n v="19152"/>
    <x v="0"/>
    <x v="1"/>
    <s v="Chennai"/>
    <s v="Self-Employed"/>
    <s v="Medium"/>
    <x v="1"/>
  </r>
  <r>
    <s v="L00400"/>
    <s v="C0021"/>
    <n v="43"/>
    <n v="33948"/>
    <n v="474168"/>
    <n v="7.79"/>
    <n v="12"/>
    <n v="722"/>
    <x v="3"/>
    <x v="0"/>
    <n v="41201"/>
    <x v="1"/>
    <x v="186"/>
    <s v="Mumbai"/>
    <s v="Business Owner"/>
    <s v="Low"/>
    <x v="2"/>
  </r>
  <r>
    <s v="L00401"/>
    <s v="C0175"/>
    <n v="51"/>
    <n v="70326"/>
    <n v="1976646"/>
    <n v="8.64"/>
    <n v="120"/>
    <n v="815"/>
    <x v="2"/>
    <x v="1"/>
    <n v="24656"/>
    <x v="1"/>
    <x v="331"/>
    <s v="Delhi"/>
    <s v="Self-Employed"/>
    <s v="High"/>
    <x v="1"/>
  </r>
  <r>
    <s v="L00402"/>
    <s v="C0065"/>
    <n v="28"/>
    <n v="65011"/>
    <n v="1779452"/>
    <n v="11.25"/>
    <n v="48"/>
    <n v="712"/>
    <x v="2"/>
    <x v="1"/>
    <n v="46207"/>
    <x v="1"/>
    <x v="332"/>
    <s v="Bangalore"/>
    <s v="Business Owner"/>
    <s v="High"/>
    <x v="2"/>
  </r>
  <r>
    <s v="L00403"/>
    <s v="C0070"/>
    <n v="30"/>
    <n v="61543"/>
    <n v="1704858"/>
    <n v="9.6300000000000008"/>
    <n v="240"/>
    <n v="811"/>
    <x v="1"/>
    <x v="1"/>
    <n v="16037"/>
    <x v="1"/>
    <x v="333"/>
    <s v="Mumbai"/>
    <s v="Business Owner"/>
    <s v="Low"/>
    <x v="1"/>
  </r>
  <r>
    <s v="L00404"/>
    <s v="C0151"/>
    <n v="35"/>
    <n v="142995"/>
    <n v="1799800"/>
    <n v="8.16"/>
    <n v="12"/>
    <n v="646"/>
    <x v="1"/>
    <x v="0"/>
    <n v="156695"/>
    <x v="0"/>
    <x v="334"/>
    <s v="Delhi"/>
    <s v="Business Owner"/>
    <s v="Low"/>
    <x v="2"/>
  </r>
  <r>
    <s v="L00405"/>
    <s v="C0059"/>
    <n v="38"/>
    <n v="85844"/>
    <n v="1640957"/>
    <n v="13.4"/>
    <n v="36"/>
    <n v="737"/>
    <x v="0"/>
    <x v="1"/>
    <n v="55607"/>
    <x v="0"/>
    <x v="202"/>
    <s v="Chennai"/>
    <s v="Self-Employed"/>
    <s v="Medium"/>
    <x v="2"/>
  </r>
  <r>
    <s v="L00406"/>
    <s v="C0038"/>
    <n v="42"/>
    <n v="78748"/>
    <n v="1856588"/>
    <n v="11.04"/>
    <n v="120"/>
    <n v="791"/>
    <x v="3"/>
    <x v="0"/>
    <n v="25617"/>
    <x v="1"/>
    <x v="335"/>
    <s v="Chennai"/>
    <s v="Salaried"/>
    <s v="Medium"/>
    <x v="1"/>
  </r>
  <r>
    <s v="L00407"/>
    <s v="C0164"/>
    <n v="30"/>
    <n v="41782"/>
    <n v="352968"/>
    <n v="8.15"/>
    <n v="240"/>
    <n v="739"/>
    <x v="3"/>
    <x v="1"/>
    <n v="2985"/>
    <x v="1"/>
    <x v="336"/>
    <s v="Hyderabad"/>
    <s v="Self-Employed"/>
    <s v="High"/>
    <x v="2"/>
  </r>
  <r>
    <s v="L00408"/>
    <s v="C0200"/>
    <n v="45"/>
    <n v="196290"/>
    <n v="367120"/>
    <n v="7.69"/>
    <n v="48"/>
    <n v="800"/>
    <x v="0"/>
    <x v="3"/>
    <n v="8909"/>
    <x v="1"/>
    <x v="337"/>
    <s v="Pune"/>
    <s v="Salaried"/>
    <s v="Medium"/>
    <x v="1"/>
  </r>
  <r>
    <s v="L00409"/>
    <s v="C0004"/>
    <n v="27"/>
    <n v="152625"/>
    <n v="479738"/>
    <n v="7.61"/>
    <n v="240"/>
    <n v="791"/>
    <x v="3"/>
    <x v="0"/>
    <n v="3897"/>
    <x v="0"/>
    <x v="338"/>
    <s v="Chennai"/>
    <s v="Self-Employed"/>
    <s v="Low"/>
    <x v="1"/>
  </r>
  <r>
    <s v="L00410"/>
    <s v="C0117"/>
    <n v="52"/>
    <n v="146257"/>
    <n v="1879855"/>
    <n v="11.1"/>
    <n v="120"/>
    <n v="564"/>
    <x v="2"/>
    <x v="2"/>
    <n v="26002"/>
    <x v="1"/>
    <x v="138"/>
    <s v="Bangalore"/>
    <s v="Salaried"/>
    <s v="Medium"/>
    <x v="0"/>
  </r>
  <r>
    <s v="L00411"/>
    <s v="C0156"/>
    <n v="32"/>
    <n v="29245"/>
    <n v="842575"/>
    <n v="10.119999999999999"/>
    <n v="60"/>
    <n v="726"/>
    <x v="3"/>
    <x v="0"/>
    <n v="17952"/>
    <x v="0"/>
    <x v="339"/>
    <s v="Mumbai"/>
    <s v="Self-Employed"/>
    <s v="Low"/>
    <x v="2"/>
  </r>
  <r>
    <s v="L00412"/>
    <s v="C0086"/>
    <n v="58"/>
    <n v="190976"/>
    <n v="1119312"/>
    <n v="12.99"/>
    <n v="48"/>
    <n v="836"/>
    <x v="2"/>
    <x v="1"/>
    <n v="30023"/>
    <x v="1"/>
    <x v="37"/>
    <s v="Hyderabad"/>
    <s v="Salaried"/>
    <s v="High"/>
    <x v="1"/>
  </r>
  <r>
    <s v="L00413"/>
    <s v="C0158"/>
    <n v="22"/>
    <n v="40554"/>
    <n v="1197381"/>
    <n v="12.94"/>
    <n v="60"/>
    <n v="833"/>
    <x v="2"/>
    <x v="2"/>
    <n v="27207"/>
    <x v="1"/>
    <x v="340"/>
    <s v="Chennai"/>
    <s v="Self-Employed"/>
    <s v="Low"/>
    <x v="1"/>
  </r>
  <r>
    <s v="L00414"/>
    <s v="C0048"/>
    <n v="53"/>
    <n v="99566"/>
    <n v="1025554"/>
    <n v="13.54"/>
    <n v="240"/>
    <n v="560"/>
    <x v="2"/>
    <x v="1"/>
    <n v="12412"/>
    <x v="2"/>
    <x v="341"/>
    <s v="Hyderabad"/>
    <s v="Salaried"/>
    <s v="Low"/>
    <x v="0"/>
  </r>
  <r>
    <s v="L00415"/>
    <s v="C0152"/>
    <n v="56"/>
    <n v="197298"/>
    <n v="1002921"/>
    <n v="7.57"/>
    <n v="240"/>
    <n v="471"/>
    <x v="1"/>
    <x v="0"/>
    <n v="8122"/>
    <x v="1"/>
    <x v="342"/>
    <s v="Hyderabad"/>
    <s v="Business Owner"/>
    <s v="High"/>
    <x v="0"/>
  </r>
  <r>
    <s v="L00416"/>
    <s v="C0114"/>
    <n v="58"/>
    <n v="50165"/>
    <n v="264697"/>
    <n v="7.98"/>
    <n v="240"/>
    <n v="635"/>
    <x v="1"/>
    <x v="0"/>
    <n v="2211"/>
    <x v="1"/>
    <x v="343"/>
    <s v="Chennai"/>
    <s v="Self-Employed"/>
    <s v="Medium"/>
    <x v="2"/>
  </r>
  <r>
    <s v="L00417"/>
    <s v="C0019"/>
    <n v="55"/>
    <n v="74815"/>
    <n v="1344344"/>
    <n v="11.33"/>
    <n v="24"/>
    <n v="664"/>
    <x v="0"/>
    <x v="2"/>
    <n v="62863"/>
    <x v="1"/>
    <x v="44"/>
    <s v="Chennai"/>
    <s v="Self-Employed"/>
    <s v="Low"/>
    <x v="2"/>
  </r>
  <r>
    <s v="L00418"/>
    <s v="C0192"/>
    <n v="22"/>
    <n v="121260"/>
    <n v="1324274"/>
    <n v="7.99"/>
    <n v="180"/>
    <n v="677"/>
    <x v="1"/>
    <x v="3"/>
    <n v="12648"/>
    <x v="0"/>
    <x v="344"/>
    <s v="Hyderabad"/>
    <s v="Business Owner"/>
    <s v="High"/>
    <x v="2"/>
  </r>
  <r>
    <s v="L00419"/>
    <s v="C0002"/>
    <n v="41"/>
    <n v="29248"/>
    <n v="1094736"/>
    <n v="11.46"/>
    <n v="180"/>
    <n v="559"/>
    <x v="1"/>
    <x v="3"/>
    <n v="12761"/>
    <x v="1"/>
    <x v="345"/>
    <s v="Delhi"/>
    <s v="Salaried"/>
    <s v="High"/>
    <x v="0"/>
  </r>
  <r>
    <s v="L00420"/>
    <s v="C0127"/>
    <n v="24"/>
    <n v="111550"/>
    <n v="1191893"/>
    <n v="14.64"/>
    <n v="240"/>
    <n v="752"/>
    <x v="3"/>
    <x v="0"/>
    <n v="15379"/>
    <x v="1"/>
    <x v="346"/>
    <s v="Delhi"/>
    <s v="Salaried"/>
    <s v="Medium"/>
    <x v="1"/>
  </r>
  <r>
    <s v="L00421"/>
    <s v="C0123"/>
    <n v="44"/>
    <n v="135723"/>
    <n v="536997"/>
    <n v="7.9"/>
    <n v="180"/>
    <n v="461"/>
    <x v="3"/>
    <x v="2"/>
    <n v="5101"/>
    <x v="2"/>
    <x v="347"/>
    <s v="Delhi"/>
    <s v="Business Owner"/>
    <s v="High"/>
    <x v="0"/>
  </r>
  <r>
    <s v="L00422"/>
    <s v="C0198"/>
    <n v="55"/>
    <n v="60083"/>
    <n v="411436"/>
    <n v="14.52"/>
    <n v="24"/>
    <n v="842"/>
    <x v="0"/>
    <x v="0"/>
    <n v="19855"/>
    <x v="1"/>
    <x v="96"/>
    <s v="Bangalore"/>
    <s v="Salaried"/>
    <s v="Medium"/>
    <x v="1"/>
  </r>
  <r>
    <s v="L00423"/>
    <s v="C0135"/>
    <n v="25"/>
    <n v="185179"/>
    <n v="363956"/>
    <n v="8.24"/>
    <n v="120"/>
    <n v="699"/>
    <x v="1"/>
    <x v="2"/>
    <n v="4462"/>
    <x v="1"/>
    <x v="348"/>
    <s v="Hyderabad"/>
    <s v="Salaried"/>
    <s v="Medium"/>
    <x v="2"/>
  </r>
  <r>
    <s v="L00424"/>
    <s v="C0074"/>
    <n v="57"/>
    <n v="68820"/>
    <n v="590539"/>
    <n v="12.01"/>
    <n v="60"/>
    <n v="595"/>
    <x v="2"/>
    <x v="1"/>
    <n v="13139"/>
    <x v="1"/>
    <x v="52"/>
    <s v="Delhi"/>
    <s v="Salaried"/>
    <s v="High"/>
    <x v="0"/>
  </r>
  <r>
    <s v="L00425"/>
    <s v="C0072"/>
    <n v="36"/>
    <n v="42558"/>
    <n v="431699"/>
    <n v="14.08"/>
    <n v="48"/>
    <n v="637"/>
    <x v="3"/>
    <x v="2"/>
    <n v="11814"/>
    <x v="0"/>
    <x v="349"/>
    <s v="Bangalore"/>
    <s v="Self-Employed"/>
    <s v="Medium"/>
    <x v="2"/>
  </r>
  <r>
    <s v="L00426"/>
    <s v="C0133"/>
    <n v="33"/>
    <n v="34483"/>
    <n v="1539350"/>
    <n v="13.22"/>
    <n v="120"/>
    <n v="525"/>
    <x v="0"/>
    <x v="3"/>
    <n v="23184"/>
    <x v="1"/>
    <x v="350"/>
    <s v="Mumbai"/>
    <s v="Salaried"/>
    <s v="Low"/>
    <x v="0"/>
  </r>
  <r>
    <s v="L00427"/>
    <s v="C0130"/>
    <n v="31"/>
    <n v="57670"/>
    <n v="1207999"/>
    <n v="13.51"/>
    <n v="48"/>
    <n v="667"/>
    <x v="2"/>
    <x v="0"/>
    <n v="32714"/>
    <x v="1"/>
    <x v="351"/>
    <s v="Mumbai"/>
    <s v="Self-Employed"/>
    <s v="Low"/>
    <x v="2"/>
  </r>
  <r>
    <s v="L00428"/>
    <s v="C0168"/>
    <n v="30"/>
    <n v="111699"/>
    <n v="1316157"/>
    <n v="8.35"/>
    <n v="120"/>
    <n v="698"/>
    <x v="3"/>
    <x v="1"/>
    <n v="16213"/>
    <x v="1"/>
    <x v="352"/>
    <s v="Chennai"/>
    <s v="Self-Employed"/>
    <s v="High"/>
    <x v="2"/>
  </r>
  <r>
    <s v="L00429"/>
    <s v="C0030"/>
    <n v="59"/>
    <n v="59853"/>
    <n v="565372"/>
    <n v="12.64"/>
    <n v="240"/>
    <n v="828"/>
    <x v="3"/>
    <x v="3"/>
    <n v="6479"/>
    <x v="0"/>
    <x v="353"/>
    <s v="Chennai"/>
    <s v="Self-Employed"/>
    <s v="High"/>
    <x v="1"/>
  </r>
  <r>
    <s v="L00430"/>
    <s v="C0035"/>
    <n v="29"/>
    <n v="99404"/>
    <n v="436078"/>
    <n v="10.37"/>
    <n v="240"/>
    <n v="493"/>
    <x v="3"/>
    <x v="0"/>
    <n v="4316"/>
    <x v="2"/>
    <x v="354"/>
    <s v="Delhi"/>
    <s v="Business Owner"/>
    <s v="Low"/>
    <x v="0"/>
  </r>
  <r>
    <s v="L00431"/>
    <s v="C0044"/>
    <n v="48"/>
    <n v="97923"/>
    <n v="1020881"/>
    <n v="13.44"/>
    <n v="24"/>
    <n v="533"/>
    <x v="0"/>
    <x v="3"/>
    <n v="48746"/>
    <x v="0"/>
    <x v="117"/>
    <s v="Bangalore"/>
    <s v="Business Owner"/>
    <s v="Medium"/>
    <x v="0"/>
  </r>
  <r>
    <s v="L00432"/>
    <s v="C0191"/>
    <n v="57"/>
    <n v="129693"/>
    <n v="520971"/>
    <n v="8.06"/>
    <n v="12"/>
    <n v="674"/>
    <x v="2"/>
    <x v="2"/>
    <n v="45333"/>
    <x v="1"/>
    <x v="355"/>
    <s v="Bangalore"/>
    <s v="Self-Employed"/>
    <s v="Low"/>
    <x v="2"/>
  </r>
  <r>
    <s v="L00433"/>
    <s v="C0073"/>
    <n v="26"/>
    <n v="48491"/>
    <n v="215618"/>
    <n v="13.04"/>
    <n v="120"/>
    <n v="821"/>
    <x v="3"/>
    <x v="0"/>
    <n v="3224"/>
    <x v="1"/>
    <x v="356"/>
    <s v="Bangalore"/>
    <s v="Business Owner"/>
    <s v="Medium"/>
    <x v="1"/>
  </r>
  <r>
    <s v="L00434"/>
    <s v="C0038"/>
    <n v="47"/>
    <n v="171267"/>
    <n v="1409033"/>
    <n v="12.44"/>
    <n v="36"/>
    <n v="638"/>
    <x v="0"/>
    <x v="0"/>
    <n v="47097"/>
    <x v="1"/>
    <x v="101"/>
    <s v="Chennai"/>
    <s v="Salaried"/>
    <s v="Medium"/>
    <x v="2"/>
  </r>
  <r>
    <s v="L00435"/>
    <s v="C0078"/>
    <n v="53"/>
    <n v="42462"/>
    <n v="339499"/>
    <n v="16.010000000000002"/>
    <n v="120"/>
    <n v="736"/>
    <x v="0"/>
    <x v="3"/>
    <n v="5689"/>
    <x v="1"/>
    <x v="357"/>
    <s v="Hyderabad"/>
    <s v="Self-Employed"/>
    <s v="Medium"/>
    <x v="2"/>
  </r>
  <r>
    <s v="L00436"/>
    <s v="C0029"/>
    <n v="45"/>
    <n v="138737"/>
    <n v="1313694"/>
    <n v="11.97"/>
    <n v="12"/>
    <n v="763"/>
    <x v="1"/>
    <x v="3"/>
    <n v="116702"/>
    <x v="0"/>
    <x v="358"/>
    <s v="Pune"/>
    <s v="Salaried"/>
    <s v="Medium"/>
    <x v="1"/>
  </r>
  <r>
    <s v="L00437"/>
    <s v="C0191"/>
    <n v="39"/>
    <n v="151875"/>
    <n v="469760"/>
    <n v="12.72"/>
    <n v="12"/>
    <n v="746"/>
    <x v="3"/>
    <x v="3"/>
    <n v="41896"/>
    <x v="1"/>
    <x v="239"/>
    <s v="Bangalore"/>
    <s v="Self-Employed"/>
    <s v="Low"/>
    <x v="2"/>
  </r>
  <r>
    <s v="L00438"/>
    <s v="C0138"/>
    <n v="59"/>
    <n v="60394"/>
    <n v="265915"/>
    <n v="15.75"/>
    <n v="60"/>
    <n v="789"/>
    <x v="0"/>
    <x v="3"/>
    <n v="6431"/>
    <x v="0"/>
    <x v="359"/>
    <s v="Delhi"/>
    <s v="Self-Employed"/>
    <s v="Medium"/>
    <x v="1"/>
  </r>
  <r>
    <s v="L00439"/>
    <s v="C0104"/>
    <n v="45"/>
    <n v="79552"/>
    <n v="226010"/>
    <n v="15.34"/>
    <n v="48"/>
    <n v="836"/>
    <x v="2"/>
    <x v="2"/>
    <n v="6329"/>
    <x v="0"/>
    <x v="360"/>
    <s v="Chennai"/>
    <s v="Business Owner"/>
    <s v="High"/>
    <x v="1"/>
  </r>
  <r>
    <s v="L00440"/>
    <s v="C0123"/>
    <n v="45"/>
    <n v="87042"/>
    <n v="497421"/>
    <n v="9.26"/>
    <n v="36"/>
    <n v="779"/>
    <x v="0"/>
    <x v="0"/>
    <n v="15878"/>
    <x v="1"/>
    <x v="361"/>
    <s v="Delhi"/>
    <s v="Business Owner"/>
    <s v="High"/>
    <x v="1"/>
  </r>
  <r>
    <s v="L00441"/>
    <s v="C0028"/>
    <n v="43"/>
    <n v="190588"/>
    <n v="1589864"/>
    <n v="10.68"/>
    <n v="24"/>
    <n v="597"/>
    <x v="2"/>
    <x v="3"/>
    <n v="73864"/>
    <x v="0"/>
    <x v="362"/>
    <s v="Delhi"/>
    <s v="Business Owner"/>
    <s v="Medium"/>
    <x v="0"/>
  </r>
  <r>
    <s v="L00442"/>
    <s v="C0129"/>
    <n v="40"/>
    <n v="197590"/>
    <n v="1863212"/>
    <n v="11.55"/>
    <n v="12"/>
    <n v="831"/>
    <x v="2"/>
    <x v="3"/>
    <n v="165152"/>
    <x v="1"/>
    <x v="324"/>
    <s v="Delhi"/>
    <s v="Business Owner"/>
    <s v="Low"/>
    <x v="1"/>
  </r>
  <r>
    <s v="L00443"/>
    <s v="C0119"/>
    <n v="33"/>
    <n v="44936"/>
    <n v="1376455"/>
    <n v="9.42"/>
    <n v="60"/>
    <n v="529"/>
    <x v="1"/>
    <x v="0"/>
    <n v="28854"/>
    <x v="1"/>
    <x v="363"/>
    <s v="Bangalore"/>
    <s v="Salaried"/>
    <s v="Low"/>
    <x v="0"/>
  </r>
  <r>
    <s v="L00444"/>
    <s v="C0077"/>
    <n v="47"/>
    <n v="36693"/>
    <n v="1797442"/>
    <n v="8.18"/>
    <n v="180"/>
    <n v="687"/>
    <x v="3"/>
    <x v="3"/>
    <n v="17365"/>
    <x v="1"/>
    <x v="364"/>
    <s v="Chennai"/>
    <s v="Business Owner"/>
    <s v="High"/>
    <x v="2"/>
  </r>
  <r>
    <s v="L00445"/>
    <s v="C0143"/>
    <n v="36"/>
    <n v="118402"/>
    <n v="365341"/>
    <n v="12.02"/>
    <n v="12"/>
    <n v="812"/>
    <x v="0"/>
    <x v="1"/>
    <n v="32464"/>
    <x v="1"/>
    <x v="38"/>
    <s v="Hyderabad"/>
    <s v="Business Owner"/>
    <s v="Medium"/>
    <x v="1"/>
  </r>
  <r>
    <s v="L00446"/>
    <s v="C0015"/>
    <n v="45"/>
    <n v="198646"/>
    <n v="1190743"/>
    <n v="9.0500000000000007"/>
    <n v="36"/>
    <n v="744"/>
    <x v="2"/>
    <x v="3"/>
    <n v="37893"/>
    <x v="1"/>
    <x v="118"/>
    <s v="Delhi"/>
    <s v="Salaried"/>
    <s v="High"/>
    <x v="2"/>
  </r>
  <r>
    <s v="L00447"/>
    <s v="C0165"/>
    <n v="46"/>
    <n v="123988"/>
    <n v="1278980"/>
    <n v="10.14"/>
    <n v="48"/>
    <n v="465"/>
    <x v="3"/>
    <x v="0"/>
    <n v="32524"/>
    <x v="0"/>
    <x v="365"/>
    <s v="Chennai"/>
    <s v="Business Owner"/>
    <s v="Low"/>
    <x v="0"/>
  </r>
  <r>
    <s v="L00448"/>
    <s v="C0003"/>
    <n v="32"/>
    <n v="87172"/>
    <n v="843311"/>
    <n v="15.74"/>
    <n v="36"/>
    <n v="501"/>
    <x v="3"/>
    <x v="1"/>
    <n v="29540"/>
    <x v="2"/>
    <x v="366"/>
    <s v="Pune"/>
    <s v="Self-Employed"/>
    <s v="Low"/>
    <x v="0"/>
  </r>
  <r>
    <s v="L00449"/>
    <s v="C0197"/>
    <n v="38"/>
    <n v="101477"/>
    <n v="1769124"/>
    <n v="8.15"/>
    <n v="12"/>
    <n v="611"/>
    <x v="2"/>
    <x v="1"/>
    <n v="154016"/>
    <x v="0"/>
    <x v="143"/>
    <s v="Pune"/>
    <s v="Self-Employed"/>
    <s v="Low"/>
    <x v="2"/>
  </r>
  <r>
    <s v="L00450"/>
    <s v="C0061"/>
    <n v="24"/>
    <n v="104605"/>
    <n v="1312405"/>
    <n v="11.17"/>
    <n v="120"/>
    <n v="640"/>
    <x v="0"/>
    <x v="3"/>
    <n v="18205"/>
    <x v="1"/>
    <x v="367"/>
    <s v="Pune"/>
    <s v="Business Owner"/>
    <s v="Medium"/>
    <x v="2"/>
  </r>
  <r>
    <s v="L00451"/>
    <s v="C0046"/>
    <n v="51"/>
    <n v="118082"/>
    <n v="1938035"/>
    <n v="8.6199999999999992"/>
    <n v="180"/>
    <n v="685"/>
    <x v="2"/>
    <x v="3"/>
    <n v="19221"/>
    <x v="1"/>
    <x v="368"/>
    <s v="Pune"/>
    <s v="Salaried"/>
    <s v="High"/>
    <x v="2"/>
  </r>
  <r>
    <s v="L00452"/>
    <s v="C0089"/>
    <n v="39"/>
    <n v="173184"/>
    <n v="1029599"/>
    <n v="14.79"/>
    <n v="24"/>
    <n v="739"/>
    <x v="1"/>
    <x v="2"/>
    <n v="49819"/>
    <x v="1"/>
    <x v="271"/>
    <s v="Pune"/>
    <s v="Salaried"/>
    <s v="High"/>
    <x v="2"/>
  </r>
  <r>
    <s v="L00453"/>
    <s v="C0053"/>
    <n v="51"/>
    <n v="122050"/>
    <n v="1431821"/>
    <n v="9.7100000000000009"/>
    <n v="12"/>
    <n v="662"/>
    <x v="0"/>
    <x v="0"/>
    <n v="125687"/>
    <x v="0"/>
    <x v="369"/>
    <s v="Pune"/>
    <s v="Salaried"/>
    <s v="Low"/>
    <x v="2"/>
  </r>
  <r>
    <s v="L00454"/>
    <s v="C0006"/>
    <n v="32"/>
    <n v="51871"/>
    <n v="102869"/>
    <n v="16.09"/>
    <n v="240"/>
    <n v="831"/>
    <x v="0"/>
    <x v="1"/>
    <n v="1438"/>
    <x v="0"/>
    <x v="370"/>
    <s v="Bangalore"/>
    <s v="Salaried"/>
    <s v="Medium"/>
    <x v="1"/>
  </r>
  <r>
    <s v="L00455"/>
    <s v="C0116"/>
    <n v="50"/>
    <n v="192926"/>
    <n v="1156923"/>
    <n v="12.53"/>
    <n v="60"/>
    <n v="763"/>
    <x v="2"/>
    <x v="3"/>
    <n v="26046"/>
    <x v="1"/>
    <x v="213"/>
    <s v="Mumbai"/>
    <s v="Business Owner"/>
    <s v="High"/>
    <x v="1"/>
  </r>
  <r>
    <s v="L00456"/>
    <s v="C0156"/>
    <n v="40"/>
    <n v="38347"/>
    <n v="1585162"/>
    <n v="13.37"/>
    <n v="24"/>
    <n v="641"/>
    <x v="3"/>
    <x v="2"/>
    <n v="75637"/>
    <x v="1"/>
    <x v="371"/>
    <s v="Mumbai"/>
    <s v="Self-Employed"/>
    <s v="Low"/>
    <x v="2"/>
  </r>
  <r>
    <s v="L00457"/>
    <s v="C0186"/>
    <n v="58"/>
    <n v="36071"/>
    <n v="1937769"/>
    <n v="9.07"/>
    <n v="240"/>
    <n v="487"/>
    <x v="3"/>
    <x v="2"/>
    <n v="17522"/>
    <x v="1"/>
    <x v="372"/>
    <s v="Hyderabad"/>
    <s v="Salaried"/>
    <s v="High"/>
    <x v="0"/>
  </r>
  <r>
    <s v="L00458"/>
    <s v="C0077"/>
    <n v="24"/>
    <n v="172001"/>
    <n v="382416"/>
    <n v="8.5"/>
    <n v="36"/>
    <n v="783"/>
    <x v="0"/>
    <x v="0"/>
    <n v="12072"/>
    <x v="1"/>
    <x v="373"/>
    <s v="Chennai"/>
    <s v="Business Owner"/>
    <s v="High"/>
    <x v="1"/>
  </r>
  <r>
    <s v="L00459"/>
    <s v="C0023"/>
    <n v="40"/>
    <n v="27548"/>
    <n v="1514327"/>
    <n v="12.27"/>
    <n v="240"/>
    <n v="690"/>
    <x v="2"/>
    <x v="3"/>
    <n v="16960"/>
    <x v="1"/>
    <x v="150"/>
    <s v="Bangalore"/>
    <s v="Salaried"/>
    <s v="Medium"/>
    <x v="2"/>
  </r>
  <r>
    <s v="L00460"/>
    <s v="C0034"/>
    <n v="33"/>
    <n v="172636"/>
    <n v="697758"/>
    <n v="16.010000000000002"/>
    <n v="48"/>
    <n v="637"/>
    <x v="2"/>
    <x v="2"/>
    <n v="19778"/>
    <x v="0"/>
    <x v="319"/>
    <s v="Delhi"/>
    <s v="Self-Employed"/>
    <s v="Low"/>
    <x v="2"/>
  </r>
  <r>
    <s v="L00461"/>
    <s v="C0031"/>
    <n v="40"/>
    <n v="197651"/>
    <n v="557074"/>
    <n v="12.13"/>
    <n v="24"/>
    <n v="478"/>
    <x v="2"/>
    <x v="3"/>
    <n v="26257"/>
    <x v="1"/>
    <x v="374"/>
    <s v="Pune"/>
    <s v="Salaried"/>
    <s v="High"/>
    <x v="0"/>
  </r>
  <r>
    <s v="L00462"/>
    <s v="C0068"/>
    <n v="46"/>
    <n v="95639"/>
    <n v="1149044"/>
    <n v="11.89"/>
    <n v="48"/>
    <n v="843"/>
    <x v="0"/>
    <x v="1"/>
    <n v="30197"/>
    <x v="1"/>
    <x v="190"/>
    <s v="Delhi"/>
    <s v="Self-Employed"/>
    <s v="Low"/>
    <x v="1"/>
  </r>
  <r>
    <s v="L00463"/>
    <s v="C0113"/>
    <n v="46"/>
    <n v="146938"/>
    <n v="450093"/>
    <n v="13.24"/>
    <n v="240"/>
    <n v="486"/>
    <x v="0"/>
    <x v="0"/>
    <n v="5350"/>
    <x v="1"/>
    <x v="375"/>
    <s v="Bangalore"/>
    <s v="Self-Employed"/>
    <s v="Medium"/>
    <x v="0"/>
  </r>
  <r>
    <s v="L00464"/>
    <s v="C0111"/>
    <n v="48"/>
    <n v="191195"/>
    <n v="916858"/>
    <n v="8.31"/>
    <n v="24"/>
    <n v="576"/>
    <x v="2"/>
    <x v="0"/>
    <n v="41597"/>
    <x v="1"/>
    <x v="376"/>
    <s v="Bangalore"/>
    <s v="Self-Employed"/>
    <s v="High"/>
    <x v="0"/>
  </r>
  <r>
    <s v="L00465"/>
    <s v="C0145"/>
    <n v="29"/>
    <n v="164658"/>
    <n v="1367225"/>
    <n v="8.49"/>
    <n v="36"/>
    <n v="529"/>
    <x v="0"/>
    <x v="2"/>
    <n v="43154"/>
    <x v="1"/>
    <x v="25"/>
    <s v="Chennai"/>
    <s v="Salaried"/>
    <s v="Low"/>
    <x v="0"/>
  </r>
  <r>
    <s v="L00466"/>
    <s v="C0061"/>
    <n v="48"/>
    <n v="36986"/>
    <n v="1711944"/>
    <n v="15.26"/>
    <n v="240"/>
    <n v="807"/>
    <x v="3"/>
    <x v="2"/>
    <n v="22872"/>
    <x v="1"/>
    <x v="377"/>
    <s v="Pune"/>
    <s v="Business Owner"/>
    <s v="Medium"/>
    <x v="1"/>
  </r>
  <r>
    <s v="L00467"/>
    <s v="C0024"/>
    <n v="49"/>
    <n v="195641"/>
    <n v="716186"/>
    <n v="8.5500000000000007"/>
    <n v="60"/>
    <n v="731"/>
    <x v="2"/>
    <x v="1"/>
    <n v="14711"/>
    <x v="1"/>
    <x v="378"/>
    <s v="Delhi"/>
    <s v="Salaried"/>
    <s v="High"/>
    <x v="2"/>
  </r>
  <r>
    <s v="L00468"/>
    <s v="C0151"/>
    <n v="31"/>
    <n v="196488"/>
    <n v="104923"/>
    <n v="12.35"/>
    <n v="48"/>
    <n v="798"/>
    <x v="3"/>
    <x v="1"/>
    <n v="2781"/>
    <x v="1"/>
    <x v="379"/>
    <s v="Delhi"/>
    <s v="Business Owner"/>
    <s v="Low"/>
    <x v="1"/>
  </r>
  <r>
    <s v="L00469"/>
    <s v="C0137"/>
    <n v="59"/>
    <n v="64211"/>
    <n v="1443459"/>
    <n v="8.9600000000000009"/>
    <n v="240"/>
    <n v="753"/>
    <x v="2"/>
    <x v="3"/>
    <n v="12950"/>
    <x v="1"/>
    <x v="380"/>
    <s v="Bangalore"/>
    <s v="Salaried"/>
    <s v="Medium"/>
    <x v="1"/>
  </r>
  <r>
    <s v="L00470"/>
    <s v="C0193"/>
    <n v="57"/>
    <n v="88097"/>
    <n v="347317"/>
    <n v="14.68"/>
    <n v="24"/>
    <n v="662"/>
    <x v="3"/>
    <x v="0"/>
    <n v="16787"/>
    <x v="1"/>
    <x v="124"/>
    <s v="Chennai"/>
    <s v="Self-Employed"/>
    <s v="High"/>
    <x v="2"/>
  </r>
  <r>
    <s v="L00471"/>
    <s v="C0027"/>
    <n v="36"/>
    <n v="150843"/>
    <n v="1445439"/>
    <n v="7.69"/>
    <n v="60"/>
    <n v="575"/>
    <x v="2"/>
    <x v="3"/>
    <n v="29094"/>
    <x v="0"/>
    <x v="22"/>
    <s v="Delhi"/>
    <s v="Self-Employed"/>
    <s v="Low"/>
    <x v="0"/>
  </r>
  <r>
    <s v="L00472"/>
    <s v="C0147"/>
    <n v="49"/>
    <n v="189409"/>
    <n v="523743"/>
    <n v="13.49"/>
    <n v="180"/>
    <n v="520"/>
    <x v="2"/>
    <x v="2"/>
    <n v="6796"/>
    <x v="1"/>
    <x v="81"/>
    <s v="Bangalore"/>
    <s v="Business Owner"/>
    <s v="Low"/>
    <x v="0"/>
  </r>
  <r>
    <s v="L00473"/>
    <s v="C0198"/>
    <n v="60"/>
    <n v="122695"/>
    <n v="1679052"/>
    <n v="10.47"/>
    <n v="36"/>
    <n v="677"/>
    <x v="1"/>
    <x v="3"/>
    <n v="54550"/>
    <x v="1"/>
    <x v="4"/>
    <s v="Bangalore"/>
    <s v="Salaried"/>
    <s v="Medium"/>
    <x v="2"/>
  </r>
  <r>
    <s v="L00474"/>
    <s v="C0050"/>
    <n v="47"/>
    <n v="182422"/>
    <n v="1462239"/>
    <n v="13.72"/>
    <n v="48"/>
    <n v="504"/>
    <x v="2"/>
    <x v="0"/>
    <n v="39753"/>
    <x v="2"/>
    <x v="143"/>
    <s v="Pune"/>
    <s v="Business Owner"/>
    <s v="Low"/>
    <x v="0"/>
  </r>
  <r>
    <s v="L00475"/>
    <s v="C0195"/>
    <n v="24"/>
    <n v="185258"/>
    <n v="260027"/>
    <n v="8.91"/>
    <n v="36"/>
    <n v="785"/>
    <x v="0"/>
    <x v="3"/>
    <n v="8258"/>
    <x v="1"/>
    <x v="261"/>
    <s v="Pune"/>
    <s v="Self-Employed"/>
    <s v="Medium"/>
    <x v="1"/>
  </r>
  <r>
    <s v="L00476"/>
    <s v="C0162"/>
    <n v="56"/>
    <n v="126932"/>
    <n v="927343"/>
    <n v="10.48"/>
    <n v="24"/>
    <n v="656"/>
    <x v="1"/>
    <x v="2"/>
    <n v="42998"/>
    <x v="0"/>
    <x v="315"/>
    <s v="Pune"/>
    <s v="Salaried"/>
    <s v="High"/>
    <x v="2"/>
  </r>
  <r>
    <s v="L00477"/>
    <s v="C0074"/>
    <n v="29"/>
    <n v="106789"/>
    <n v="1174900"/>
    <n v="10.71"/>
    <n v="36"/>
    <n v="688"/>
    <x v="2"/>
    <x v="1"/>
    <n v="38304"/>
    <x v="1"/>
    <x v="381"/>
    <s v="Delhi"/>
    <s v="Salaried"/>
    <s v="High"/>
    <x v="2"/>
  </r>
  <r>
    <s v="L00478"/>
    <s v="C0096"/>
    <n v="44"/>
    <n v="163414"/>
    <n v="1791103"/>
    <n v="11.63"/>
    <n v="48"/>
    <n v="515"/>
    <x v="1"/>
    <x v="3"/>
    <n v="46842"/>
    <x v="2"/>
    <x v="82"/>
    <s v="Mumbai"/>
    <s v="Salaried"/>
    <s v="Low"/>
    <x v="0"/>
  </r>
  <r>
    <s v="L00479"/>
    <s v="C0057"/>
    <n v="52"/>
    <n v="82904"/>
    <n v="686787"/>
    <n v="15.2"/>
    <n v="48"/>
    <n v="769"/>
    <x v="3"/>
    <x v="3"/>
    <n v="19183"/>
    <x v="1"/>
    <x v="382"/>
    <s v="Mumbai"/>
    <s v="Business Owner"/>
    <s v="High"/>
    <x v="1"/>
  </r>
  <r>
    <s v="L00480"/>
    <s v="C0165"/>
    <n v="48"/>
    <n v="168845"/>
    <n v="278875"/>
    <n v="8.5299999999999994"/>
    <n v="12"/>
    <n v="682"/>
    <x v="1"/>
    <x v="0"/>
    <n v="24327"/>
    <x v="1"/>
    <x v="383"/>
    <s v="Chennai"/>
    <s v="Business Owner"/>
    <s v="Low"/>
    <x v="2"/>
  </r>
  <r>
    <s v="L00481"/>
    <s v="C0146"/>
    <n v="28"/>
    <n v="110969"/>
    <n v="1077451"/>
    <n v="14.97"/>
    <n v="48"/>
    <n v="690"/>
    <x v="3"/>
    <x v="3"/>
    <n v="29970"/>
    <x v="0"/>
    <x v="365"/>
    <s v="Delhi"/>
    <s v="Salaried"/>
    <s v="Low"/>
    <x v="2"/>
  </r>
  <r>
    <s v="L00482"/>
    <s v="C0182"/>
    <n v="56"/>
    <n v="83064"/>
    <n v="665083"/>
    <n v="13.95"/>
    <n v="180"/>
    <n v="526"/>
    <x v="3"/>
    <x v="2"/>
    <n v="8835"/>
    <x v="1"/>
    <x v="384"/>
    <s v="Delhi"/>
    <s v="Business Owner"/>
    <s v="High"/>
    <x v="0"/>
  </r>
  <r>
    <s v="L00483"/>
    <s v="C0088"/>
    <n v="52"/>
    <n v="26979"/>
    <n v="1345643"/>
    <n v="9.8800000000000008"/>
    <n v="12"/>
    <n v="772"/>
    <x v="0"/>
    <x v="0"/>
    <n v="118228"/>
    <x v="1"/>
    <x v="104"/>
    <s v="Mumbai"/>
    <s v="Business Owner"/>
    <s v="Medium"/>
    <x v="1"/>
  </r>
  <r>
    <s v="L00484"/>
    <s v="C0173"/>
    <n v="53"/>
    <n v="165636"/>
    <n v="1193254"/>
    <n v="9.51"/>
    <n v="120"/>
    <n v="467"/>
    <x v="2"/>
    <x v="2"/>
    <n v="15447"/>
    <x v="2"/>
    <x v="385"/>
    <s v="Hyderabad"/>
    <s v="Salaried"/>
    <s v="High"/>
    <x v="0"/>
  </r>
  <r>
    <s v="L00485"/>
    <s v="C0127"/>
    <n v="55"/>
    <n v="81196"/>
    <n v="1118104"/>
    <n v="15.91"/>
    <n v="240"/>
    <n v="599"/>
    <x v="2"/>
    <x v="1"/>
    <n v="15480"/>
    <x v="1"/>
    <x v="155"/>
    <s v="Delhi"/>
    <s v="Salaried"/>
    <s v="Medium"/>
    <x v="0"/>
  </r>
  <r>
    <s v="L00486"/>
    <s v="C0190"/>
    <n v="23"/>
    <n v="82834"/>
    <n v="213911"/>
    <n v="8"/>
    <n v="12"/>
    <n v="833"/>
    <x v="2"/>
    <x v="2"/>
    <n v="18608"/>
    <x v="1"/>
    <x v="386"/>
    <s v="Chennai"/>
    <s v="Self-Employed"/>
    <s v="High"/>
    <x v="1"/>
  </r>
  <r>
    <s v="L00487"/>
    <s v="C0174"/>
    <n v="54"/>
    <n v="92311"/>
    <n v="699657"/>
    <n v="8.6"/>
    <n v="240"/>
    <n v="537"/>
    <x v="0"/>
    <x v="3"/>
    <n v="6116"/>
    <x v="1"/>
    <x v="173"/>
    <s v="Hyderabad"/>
    <s v="Self-Employed"/>
    <s v="High"/>
    <x v="0"/>
  </r>
  <r>
    <s v="L00488"/>
    <s v="C0133"/>
    <n v="48"/>
    <n v="157329"/>
    <n v="1147339"/>
    <n v="14.15"/>
    <n v="48"/>
    <n v="556"/>
    <x v="3"/>
    <x v="1"/>
    <n v="31439"/>
    <x v="1"/>
    <x v="201"/>
    <s v="Mumbai"/>
    <s v="Salaried"/>
    <s v="Low"/>
    <x v="0"/>
  </r>
  <r>
    <s v="L00489"/>
    <s v="C0034"/>
    <n v="46"/>
    <n v="141540"/>
    <n v="878630"/>
    <n v="8.3699999999999992"/>
    <n v="120"/>
    <n v="462"/>
    <x v="1"/>
    <x v="3"/>
    <n v="10833"/>
    <x v="2"/>
    <x v="364"/>
    <s v="Delhi"/>
    <s v="Self-Employed"/>
    <s v="Low"/>
    <x v="0"/>
  </r>
  <r>
    <s v="L00490"/>
    <s v="C0022"/>
    <n v="45"/>
    <n v="76720"/>
    <n v="843619"/>
    <n v="12.87"/>
    <n v="48"/>
    <n v="450"/>
    <x v="2"/>
    <x v="3"/>
    <n v="22578"/>
    <x v="1"/>
    <x v="387"/>
    <s v="Delhi"/>
    <s v="Self-Employed"/>
    <s v="High"/>
    <x v="0"/>
  </r>
  <r>
    <s v="L00491"/>
    <s v="C0198"/>
    <n v="48"/>
    <n v="190592"/>
    <n v="976503"/>
    <n v="8.1999999999999993"/>
    <n v="48"/>
    <n v="785"/>
    <x v="3"/>
    <x v="0"/>
    <n v="23931"/>
    <x v="1"/>
    <x v="388"/>
    <s v="Bangalore"/>
    <s v="Salaried"/>
    <s v="Medium"/>
    <x v="1"/>
  </r>
  <r>
    <s v="L00492"/>
    <s v="C0066"/>
    <n v="60"/>
    <n v="180946"/>
    <n v="1702003"/>
    <n v="14.92"/>
    <n v="240"/>
    <n v="794"/>
    <x v="0"/>
    <x v="1"/>
    <n v="22311"/>
    <x v="1"/>
    <x v="389"/>
    <s v="Pune"/>
    <s v="Business Owner"/>
    <s v="High"/>
    <x v="1"/>
  </r>
  <r>
    <s v="L00493"/>
    <s v="C0160"/>
    <n v="33"/>
    <n v="26819"/>
    <n v="369219"/>
    <n v="9.34"/>
    <n v="240"/>
    <n v="782"/>
    <x v="3"/>
    <x v="2"/>
    <n v="3403"/>
    <x v="0"/>
    <x v="160"/>
    <s v="Delhi"/>
    <s v="Business Owner"/>
    <s v="High"/>
    <x v="1"/>
  </r>
  <r>
    <s v="L00494"/>
    <s v="C0064"/>
    <n v="57"/>
    <n v="34289"/>
    <n v="1167871"/>
    <n v="10.84"/>
    <n v="240"/>
    <n v="613"/>
    <x v="2"/>
    <x v="2"/>
    <n v="11928"/>
    <x v="1"/>
    <x v="390"/>
    <s v="Pune"/>
    <s v="Self-Employed"/>
    <s v="Low"/>
    <x v="2"/>
  </r>
  <r>
    <s v="L00495"/>
    <s v="C0133"/>
    <n v="35"/>
    <n v="154791"/>
    <n v="686353"/>
    <n v="8.01"/>
    <n v="60"/>
    <n v="777"/>
    <x v="1"/>
    <x v="1"/>
    <n v="13920"/>
    <x v="0"/>
    <x v="391"/>
    <s v="Mumbai"/>
    <s v="Salaried"/>
    <s v="Low"/>
    <x v="1"/>
  </r>
  <r>
    <s v="L00496"/>
    <s v="C0138"/>
    <n v="46"/>
    <n v="122167"/>
    <n v="1973428"/>
    <n v="14.18"/>
    <n v="120"/>
    <n v="555"/>
    <x v="0"/>
    <x v="2"/>
    <n v="30855"/>
    <x v="1"/>
    <x v="99"/>
    <s v="Delhi"/>
    <s v="Self-Employed"/>
    <s v="Medium"/>
    <x v="0"/>
  </r>
  <r>
    <s v="L00497"/>
    <s v="C0029"/>
    <n v="23"/>
    <n v="83994"/>
    <n v="230051"/>
    <n v="14.41"/>
    <n v="180"/>
    <n v="707"/>
    <x v="1"/>
    <x v="0"/>
    <n v="3127"/>
    <x v="1"/>
    <x v="29"/>
    <s v="Pune"/>
    <s v="Salaried"/>
    <s v="Medium"/>
    <x v="2"/>
  </r>
  <r>
    <s v="L00498"/>
    <s v="C0117"/>
    <n v="30"/>
    <n v="153510"/>
    <n v="848197"/>
    <n v="12.01"/>
    <n v="12"/>
    <n v="611"/>
    <x v="2"/>
    <x v="0"/>
    <n v="75365"/>
    <x v="0"/>
    <x v="392"/>
    <s v="Bangalore"/>
    <s v="Salaried"/>
    <s v="Medium"/>
    <x v="2"/>
  </r>
  <r>
    <s v="L00499"/>
    <s v="C0134"/>
    <n v="24"/>
    <n v="153977"/>
    <n v="1512915"/>
    <n v="12.2"/>
    <n v="180"/>
    <n v="791"/>
    <x v="0"/>
    <x v="2"/>
    <n v="18353"/>
    <x v="1"/>
    <x v="285"/>
    <s v="Bangalore"/>
    <s v="Self-Employed"/>
    <s v="Medium"/>
    <x v="1"/>
  </r>
  <r>
    <s v="L00500"/>
    <s v="C0197"/>
    <n v="26"/>
    <n v="177425"/>
    <n v="217876"/>
    <n v="9.26"/>
    <n v="60"/>
    <n v="709"/>
    <x v="1"/>
    <x v="0"/>
    <n v="4550"/>
    <x v="1"/>
    <x v="64"/>
    <s v="Pune"/>
    <s v="Self-Employed"/>
    <s v="Low"/>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n v="707284"/>
  </r>
  <r>
    <x v="1"/>
    <n v="921446"/>
  </r>
  <r>
    <x v="2"/>
    <n v="907995"/>
  </r>
  <r>
    <x v="3"/>
    <n v="449052"/>
  </r>
  <r>
    <x v="4"/>
    <n v="1975970"/>
  </r>
  <r>
    <x v="5"/>
    <n v="1108068"/>
  </r>
  <r>
    <x v="6"/>
    <n v="464871"/>
  </r>
  <r>
    <x v="7"/>
    <n v="1272571"/>
  </r>
  <r>
    <x v="8"/>
    <n v="768381"/>
  </r>
  <r>
    <x v="9"/>
    <n v="1299686"/>
  </r>
  <r>
    <x v="10"/>
    <n v="478994"/>
  </r>
  <r>
    <x v="11"/>
    <n v="737583"/>
  </r>
  <r>
    <x v="12"/>
    <n v="1008209"/>
  </r>
  <r>
    <x v="13"/>
    <n v="1013858"/>
  </r>
  <r>
    <x v="14"/>
    <n v="1380340"/>
  </r>
  <r>
    <x v="15"/>
    <n v="438117"/>
  </r>
  <r>
    <x v="16"/>
    <n v="231401"/>
  </r>
  <r>
    <x v="17"/>
    <n v="974216"/>
  </r>
  <r>
    <x v="18"/>
    <n v="1572278"/>
  </r>
  <r>
    <x v="19"/>
    <n v="578454"/>
  </r>
  <r>
    <x v="20"/>
    <n v="944252"/>
  </r>
  <r>
    <x v="21"/>
    <n v="819078"/>
  </r>
  <r>
    <x v="22"/>
    <n v="240746"/>
  </r>
  <r>
    <x v="23"/>
    <n v="1290537"/>
  </r>
  <r>
    <x v="24"/>
    <n v="1366755"/>
  </r>
  <r>
    <x v="25"/>
    <n v="169490"/>
  </r>
  <r>
    <x v="26"/>
    <n v="1598000"/>
  </r>
  <r>
    <x v="27"/>
    <n v="1650979"/>
  </r>
  <r>
    <x v="28"/>
    <n v="788928"/>
  </r>
  <r>
    <x v="29"/>
    <n v="612701"/>
  </r>
  <r>
    <x v="30"/>
    <n v="1285240"/>
  </r>
  <r>
    <x v="31"/>
    <n v="1024105"/>
  </r>
  <r>
    <x v="32"/>
    <n v="421968"/>
  </r>
  <r>
    <x v="33"/>
    <n v="211692"/>
  </r>
  <r>
    <x v="34"/>
    <n v="1284100"/>
  </r>
  <r>
    <x v="35"/>
    <n v="701552"/>
  </r>
  <r>
    <x v="36"/>
    <n v="468565"/>
  </r>
  <r>
    <x v="37"/>
    <n v="352863"/>
  </r>
  <r>
    <x v="38"/>
    <n v="557111"/>
  </r>
  <r>
    <x v="39"/>
    <n v="107787"/>
  </r>
  <r>
    <x v="40"/>
    <n v="327707"/>
  </r>
  <r>
    <x v="41"/>
    <n v="1755735"/>
  </r>
  <r>
    <x v="9"/>
    <n v="822436"/>
  </r>
  <r>
    <x v="42"/>
    <n v="653849"/>
  </r>
  <r>
    <x v="43"/>
    <n v="1282169"/>
  </r>
  <r>
    <x v="44"/>
    <n v="687223"/>
  </r>
  <r>
    <x v="45"/>
    <n v="408471"/>
  </r>
  <r>
    <x v="43"/>
    <n v="1087093"/>
  </r>
  <r>
    <x v="46"/>
    <n v="1592104"/>
  </r>
  <r>
    <x v="47"/>
    <n v="1090875"/>
  </r>
  <r>
    <x v="48"/>
    <n v="1256587"/>
  </r>
  <r>
    <x v="49"/>
    <n v="1738995"/>
  </r>
  <r>
    <x v="50"/>
    <n v="843138"/>
  </r>
  <r>
    <x v="51"/>
    <n v="1697647"/>
  </r>
  <r>
    <x v="52"/>
    <n v="1623049"/>
  </r>
  <r>
    <x v="53"/>
    <n v="113713"/>
  </r>
  <r>
    <x v="52"/>
    <n v="1950163"/>
  </r>
  <r>
    <x v="54"/>
    <n v="928877"/>
  </r>
  <r>
    <x v="55"/>
    <n v="1068679"/>
  </r>
  <r>
    <x v="56"/>
    <n v="1553080"/>
  </r>
  <r>
    <x v="57"/>
    <n v="735401"/>
  </r>
  <r>
    <x v="58"/>
    <n v="1136919"/>
  </r>
  <r>
    <x v="59"/>
    <n v="1285387"/>
  </r>
  <r>
    <x v="60"/>
    <n v="421149"/>
  </r>
  <r>
    <x v="61"/>
    <n v="1922049"/>
  </r>
  <r>
    <x v="62"/>
    <n v="271973"/>
  </r>
  <r>
    <x v="63"/>
    <n v="1897861"/>
  </r>
  <r>
    <x v="64"/>
    <n v="959988"/>
  </r>
  <r>
    <x v="65"/>
    <n v="1678621"/>
  </r>
  <r>
    <x v="66"/>
    <n v="745816"/>
  </r>
  <r>
    <x v="67"/>
    <n v="1975222"/>
  </r>
  <r>
    <x v="68"/>
    <n v="1618340"/>
  </r>
  <r>
    <x v="69"/>
    <n v="1104492"/>
  </r>
  <r>
    <x v="70"/>
    <n v="1846110"/>
  </r>
  <r>
    <x v="71"/>
    <n v="1360355"/>
  </r>
  <r>
    <x v="72"/>
    <n v="682799"/>
  </r>
  <r>
    <x v="73"/>
    <n v="1445450"/>
  </r>
  <r>
    <x v="74"/>
    <n v="1260430"/>
  </r>
  <r>
    <x v="75"/>
    <n v="545643"/>
  </r>
  <r>
    <x v="76"/>
    <n v="1188200"/>
  </r>
  <r>
    <x v="77"/>
    <n v="1804698"/>
  </r>
  <r>
    <x v="78"/>
    <n v="444362"/>
  </r>
  <r>
    <x v="37"/>
    <n v="1573107"/>
  </r>
  <r>
    <x v="79"/>
    <n v="783594"/>
  </r>
  <r>
    <x v="80"/>
    <n v="244701"/>
  </r>
  <r>
    <x v="81"/>
    <n v="286061"/>
  </r>
  <r>
    <x v="82"/>
    <n v="758174"/>
  </r>
  <r>
    <x v="83"/>
    <n v="1197181"/>
  </r>
  <r>
    <x v="84"/>
    <n v="290152"/>
  </r>
  <r>
    <x v="85"/>
    <n v="1592535"/>
  </r>
  <r>
    <x v="86"/>
    <n v="1727854"/>
  </r>
  <r>
    <x v="87"/>
    <n v="750234"/>
  </r>
  <r>
    <x v="88"/>
    <n v="926951"/>
  </r>
  <r>
    <x v="89"/>
    <n v="826874"/>
  </r>
  <r>
    <x v="90"/>
    <n v="218137"/>
  </r>
  <r>
    <x v="91"/>
    <n v="206167"/>
  </r>
  <r>
    <x v="92"/>
    <n v="1793714"/>
  </r>
  <r>
    <x v="93"/>
    <n v="969481"/>
  </r>
  <r>
    <x v="94"/>
    <n v="370753"/>
  </r>
  <r>
    <x v="95"/>
    <n v="1765973"/>
  </r>
  <r>
    <x v="96"/>
    <n v="462171"/>
  </r>
  <r>
    <x v="97"/>
    <n v="469767"/>
  </r>
  <r>
    <x v="98"/>
    <n v="560511"/>
  </r>
  <r>
    <x v="99"/>
    <n v="738392"/>
  </r>
  <r>
    <x v="100"/>
    <n v="259144"/>
  </r>
  <r>
    <x v="101"/>
    <n v="315753"/>
  </r>
  <r>
    <x v="102"/>
    <n v="1220533"/>
  </r>
  <r>
    <x v="74"/>
    <n v="1246143"/>
  </r>
  <r>
    <x v="103"/>
    <n v="163591"/>
  </r>
  <r>
    <x v="104"/>
    <n v="1622913"/>
  </r>
  <r>
    <x v="105"/>
    <n v="1828229"/>
  </r>
  <r>
    <x v="106"/>
    <n v="904017"/>
  </r>
  <r>
    <x v="107"/>
    <n v="958995"/>
  </r>
  <r>
    <x v="108"/>
    <n v="432766"/>
  </r>
  <r>
    <x v="109"/>
    <n v="648924"/>
  </r>
  <r>
    <x v="110"/>
    <n v="1828567"/>
  </r>
  <r>
    <x v="111"/>
    <n v="1063906"/>
  </r>
  <r>
    <x v="112"/>
    <n v="1453273"/>
  </r>
  <r>
    <x v="113"/>
    <n v="1289902"/>
  </r>
  <r>
    <x v="114"/>
    <n v="1153375"/>
  </r>
  <r>
    <x v="115"/>
    <n v="262408"/>
  </r>
  <r>
    <x v="116"/>
    <n v="930541"/>
  </r>
  <r>
    <x v="117"/>
    <n v="1656136"/>
  </r>
  <r>
    <x v="118"/>
    <n v="995713"/>
  </r>
  <r>
    <x v="119"/>
    <n v="1195064"/>
  </r>
  <r>
    <x v="120"/>
    <n v="613911"/>
  </r>
  <r>
    <x v="121"/>
    <n v="686421"/>
  </r>
  <r>
    <x v="122"/>
    <n v="1732520"/>
  </r>
  <r>
    <x v="123"/>
    <n v="1410660"/>
  </r>
  <r>
    <x v="9"/>
    <n v="259065"/>
  </r>
  <r>
    <x v="124"/>
    <n v="758406"/>
  </r>
  <r>
    <x v="125"/>
    <n v="1072273"/>
  </r>
  <r>
    <x v="126"/>
    <n v="418028"/>
  </r>
  <r>
    <x v="127"/>
    <n v="341449"/>
  </r>
  <r>
    <x v="128"/>
    <n v="1407020"/>
  </r>
  <r>
    <x v="89"/>
    <n v="1029104"/>
  </r>
  <r>
    <x v="129"/>
    <n v="1654740"/>
  </r>
  <r>
    <x v="130"/>
    <n v="782702"/>
  </r>
  <r>
    <x v="131"/>
    <n v="1028225"/>
  </r>
  <r>
    <x v="132"/>
    <n v="636422"/>
  </r>
  <r>
    <x v="123"/>
    <n v="1226902"/>
  </r>
  <r>
    <x v="133"/>
    <n v="1671127"/>
  </r>
  <r>
    <x v="134"/>
    <n v="1945100"/>
  </r>
  <r>
    <x v="135"/>
    <n v="1230828"/>
  </r>
  <r>
    <x v="136"/>
    <n v="614367"/>
  </r>
  <r>
    <x v="137"/>
    <n v="1760409"/>
  </r>
  <r>
    <x v="138"/>
    <n v="1091850"/>
  </r>
  <r>
    <x v="139"/>
    <n v="1833549"/>
  </r>
  <r>
    <x v="140"/>
    <n v="1077731"/>
  </r>
  <r>
    <x v="141"/>
    <n v="1266185"/>
  </r>
  <r>
    <x v="106"/>
    <n v="1307793"/>
  </r>
  <r>
    <x v="142"/>
    <n v="1824002"/>
  </r>
  <r>
    <x v="143"/>
    <n v="1215326"/>
  </r>
  <r>
    <x v="144"/>
    <n v="1646805"/>
  </r>
  <r>
    <x v="145"/>
    <n v="1172998"/>
  </r>
  <r>
    <x v="146"/>
    <n v="1196601"/>
  </r>
  <r>
    <x v="147"/>
    <n v="293697"/>
  </r>
  <r>
    <x v="148"/>
    <n v="543233"/>
  </r>
  <r>
    <x v="149"/>
    <n v="892289"/>
  </r>
  <r>
    <x v="150"/>
    <n v="123076"/>
  </r>
  <r>
    <x v="139"/>
    <n v="1086448"/>
  </r>
  <r>
    <x v="151"/>
    <n v="1006304"/>
  </r>
  <r>
    <x v="152"/>
    <n v="1543168"/>
  </r>
  <r>
    <x v="153"/>
    <n v="1296032"/>
  </r>
  <r>
    <x v="154"/>
    <n v="1203137"/>
  </r>
  <r>
    <x v="97"/>
    <n v="154651"/>
  </r>
  <r>
    <x v="155"/>
    <n v="1976065"/>
  </r>
  <r>
    <x v="105"/>
    <n v="1227851"/>
  </r>
  <r>
    <x v="156"/>
    <n v="1661378"/>
  </r>
  <r>
    <x v="157"/>
    <n v="884892"/>
  </r>
  <r>
    <x v="158"/>
    <n v="934233"/>
  </r>
  <r>
    <x v="159"/>
    <n v="1259623"/>
  </r>
  <r>
    <x v="160"/>
    <n v="1230358"/>
  </r>
  <r>
    <x v="161"/>
    <n v="1738885"/>
  </r>
  <r>
    <x v="162"/>
    <n v="1475858"/>
  </r>
  <r>
    <x v="163"/>
    <n v="653756"/>
  </r>
  <r>
    <x v="164"/>
    <n v="445820"/>
  </r>
  <r>
    <x v="165"/>
    <n v="1302590"/>
  </r>
  <r>
    <x v="166"/>
    <n v="538852"/>
  </r>
  <r>
    <x v="167"/>
    <n v="1157730"/>
  </r>
  <r>
    <x v="27"/>
    <n v="1622768"/>
  </r>
  <r>
    <x v="168"/>
    <n v="586777"/>
  </r>
  <r>
    <x v="169"/>
    <n v="974351"/>
  </r>
  <r>
    <x v="170"/>
    <n v="417229"/>
  </r>
  <r>
    <x v="171"/>
    <n v="1970868"/>
  </r>
  <r>
    <x v="172"/>
    <n v="818464"/>
  </r>
  <r>
    <x v="173"/>
    <n v="1950231"/>
  </r>
  <r>
    <x v="174"/>
    <n v="1814175"/>
  </r>
  <r>
    <x v="175"/>
    <n v="1497988"/>
  </r>
  <r>
    <x v="176"/>
    <n v="1553866"/>
  </r>
  <r>
    <x v="177"/>
    <n v="1890256"/>
  </r>
  <r>
    <x v="178"/>
    <n v="1339700"/>
  </r>
  <r>
    <x v="179"/>
    <n v="1313233"/>
  </r>
  <r>
    <x v="180"/>
    <n v="426059"/>
  </r>
  <r>
    <x v="113"/>
    <n v="902877"/>
  </r>
  <r>
    <x v="181"/>
    <n v="527022"/>
  </r>
  <r>
    <x v="182"/>
    <n v="1374072"/>
  </r>
  <r>
    <x v="146"/>
    <n v="114868"/>
  </r>
  <r>
    <x v="183"/>
    <n v="608517"/>
  </r>
  <r>
    <x v="184"/>
    <n v="752362"/>
  </r>
  <r>
    <x v="185"/>
    <n v="803170"/>
  </r>
  <r>
    <x v="186"/>
    <n v="239121"/>
  </r>
  <r>
    <x v="187"/>
    <n v="1630650"/>
  </r>
  <r>
    <x v="188"/>
    <n v="888888"/>
  </r>
  <r>
    <x v="189"/>
    <n v="1889897"/>
  </r>
  <r>
    <x v="190"/>
    <n v="1527799"/>
  </r>
  <r>
    <x v="191"/>
    <n v="999100"/>
  </r>
  <r>
    <x v="31"/>
    <n v="1697182"/>
  </r>
  <r>
    <x v="192"/>
    <n v="611033"/>
  </r>
  <r>
    <x v="193"/>
    <n v="1738037"/>
  </r>
  <r>
    <x v="194"/>
    <n v="627332"/>
  </r>
  <r>
    <x v="195"/>
    <n v="139525"/>
  </r>
  <r>
    <x v="196"/>
    <n v="828258"/>
  </r>
  <r>
    <x v="64"/>
    <n v="705506"/>
  </r>
  <r>
    <x v="197"/>
    <n v="915412"/>
  </r>
  <r>
    <x v="198"/>
    <n v="1227034"/>
  </r>
  <r>
    <x v="199"/>
    <n v="314618"/>
  </r>
  <r>
    <x v="200"/>
    <n v="537413"/>
  </r>
  <r>
    <x v="193"/>
    <n v="585419"/>
  </r>
  <r>
    <x v="201"/>
    <n v="1721651"/>
  </r>
  <r>
    <x v="202"/>
    <n v="560691"/>
  </r>
  <r>
    <x v="203"/>
    <n v="388446"/>
  </r>
  <r>
    <x v="204"/>
    <n v="596049"/>
  </r>
  <r>
    <x v="205"/>
    <n v="1838365"/>
  </r>
  <r>
    <x v="206"/>
    <n v="1080310"/>
  </r>
  <r>
    <x v="207"/>
    <n v="550981"/>
  </r>
  <r>
    <x v="208"/>
    <n v="1307042"/>
  </r>
  <r>
    <x v="209"/>
    <n v="683716"/>
  </r>
  <r>
    <x v="210"/>
    <n v="1071476"/>
  </r>
  <r>
    <x v="173"/>
    <n v="1095245"/>
  </r>
  <r>
    <x v="211"/>
    <n v="489311"/>
  </r>
  <r>
    <x v="212"/>
    <n v="1222490"/>
  </r>
  <r>
    <x v="143"/>
    <n v="390350"/>
  </r>
  <r>
    <x v="213"/>
    <n v="759552"/>
  </r>
  <r>
    <x v="214"/>
    <n v="649379"/>
  </r>
  <r>
    <x v="63"/>
    <n v="1399406"/>
  </r>
  <r>
    <x v="215"/>
    <n v="923749"/>
  </r>
  <r>
    <x v="216"/>
    <n v="1753701"/>
  </r>
  <r>
    <x v="135"/>
    <n v="301404"/>
  </r>
  <r>
    <x v="217"/>
    <n v="1557632"/>
  </r>
  <r>
    <x v="218"/>
    <n v="372265"/>
  </r>
  <r>
    <x v="219"/>
    <n v="126940"/>
  </r>
  <r>
    <x v="220"/>
    <n v="252750"/>
  </r>
  <r>
    <x v="210"/>
    <n v="218058"/>
  </r>
  <r>
    <x v="221"/>
    <n v="1340311"/>
  </r>
  <r>
    <x v="222"/>
    <n v="500828"/>
  </r>
  <r>
    <x v="223"/>
    <n v="357479"/>
  </r>
  <r>
    <x v="224"/>
    <n v="1596695"/>
  </r>
  <r>
    <x v="225"/>
    <n v="1841949"/>
  </r>
  <r>
    <x v="226"/>
    <n v="961589"/>
  </r>
  <r>
    <x v="227"/>
    <n v="1072905"/>
  </r>
  <r>
    <x v="132"/>
    <n v="848825"/>
  </r>
  <r>
    <x v="228"/>
    <n v="133838"/>
  </r>
  <r>
    <x v="229"/>
    <n v="851012"/>
  </r>
  <r>
    <x v="230"/>
    <n v="661173"/>
  </r>
  <r>
    <x v="231"/>
    <n v="338584"/>
  </r>
  <r>
    <x v="232"/>
    <n v="1735496"/>
  </r>
  <r>
    <x v="233"/>
    <n v="1669164"/>
  </r>
  <r>
    <x v="39"/>
    <n v="180435"/>
  </r>
  <r>
    <x v="234"/>
    <n v="416277"/>
  </r>
  <r>
    <x v="50"/>
    <n v="1173227"/>
  </r>
  <r>
    <x v="235"/>
    <n v="125471"/>
  </r>
  <r>
    <x v="236"/>
    <n v="822646"/>
  </r>
  <r>
    <x v="8"/>
    <n v="1331943"/>
  </r>
  <r>
    <x v="224"/>
    <n v="1688692"/>
  </r>
  <r>
    <x v="237"/>
    <n v="787794"/>
  </r>
  <r>
    <x v="193"/>
    <n v="1010215"/>
  </r>
  <r>
    <x v="134"/>
    <n v="1101230"/>
  </r>
  <r>
    <x v="238"/>
    <n v="717525"/>
  </r>
  <r>
    <x v="239"/>
    <n v="1274364"/>
  </r>
  <r>
    <x v="240"/>
    <n v="1527302"/>
  </r>
  <r>
    <x v="241"/>
    <n v="1269185"/>
  </r>
  <r>
    <x v="145"/>
    <n v="1807524"/>
  </r>
  <r>
    <x v="242"/>
    <n v="1466618"/>
  </r>
  <r>
    <x v="243"/>
    <n v="1402613"/>
  </r>
  <r>
    <x v="244"/>
    <n v="1550468"/>
  </r>
  <r>
    <x v="245"/>
    <n v="1809360"/>
  </r>
  <r>
    <x v="173"/>
    <n v="1274370"/>
  </r>
  <r>
    <x v="246"/>
    <n v="365107"/>
  </r>
  <r>
    <x v="247"/>
    <n v="584760"/>
  </r>
  <r>
    <x v="248"/>
    <n v="1839330"/>
  </r>
  <r>
    <x v="75"/>
    <n v="615275"/>
  </r>
  <r>
    <x v="249"/>
    <n v="177669"/>
  </r>
  <r>
    <x v="250"/>
    <n v="325451"/>
  </r>
  <r>
    <x v="251"/>
    <n v="1369287"/>
  </r>
  <r>
    <x v="252"/>
    <n v="1353345"/>
  </r>
  <r>
    <x v="253"/>
    <n v="1429693"/>
  </r>
  <r>
    <x v="254"/>
    <n v="1519063"/>
  </r>
  <r>
    <x v="255"/>
    <n v="826745"/>
  </r>
  <r>
    <x v="256"/>
    <n v="1543993"/>
  </r>
  <r>
    <x v="247"/>
    <n v="860303"/>
  </r>
  <r>
    <x v="180"/>
    <n v="1180029"/>
  </r>
  <r>
    <x v="257"/>
    <n v="1684123"/>
  </r>
  <r>
    <x v="258"/>
    <n v="1993034"/>
  </r>
  <r>
    <x v="198"/>
    <n v="1880190"/>
  </r>
  <r>
    <x v="259"/>
    <n v="1914328"/>
  </r>
  <r>
    <x v="260"/>
    <n v="359647"/>
  </r>
  <r>
    <x v="136"/>
    <n v="1956548"/>
  </r>
  <r>
    <x v="261"/>
    <n v="1679871"/>
  </r>
  <r>
    <x v="186"/>
    <n v="1248035"/>
  </r>
  <r>
    <x v="262"/>
    <n v="725981"/>
  </r>
  <r>
    <x v="263"/>
    <n v="1112477"/>
  </r>
  <r>
    <x v="163"/>
    <n v="1493649"/>
  </r>
  <r>
    <x v="264"/>
    <n v="1980369"/>
  </r>
  <r>
    <x v="244"/>
    <n v="1952792"/>
  </r>
  <r>
    <x v="265"/>
    <n v="842390"/>
  </r>
  <r>
    <x v="113"/>
    <n v="398140"/>
  </r>
  <r>
    <x v="166"/>
    <n v="850718"/>
  </r>
  <r>
    <x v="266"/>
    <n v="184340"/>
  </r>
  <r>
    <x v="82"/>
    <n v="426314"/>
  </r>
  <r>
    <x v="267"/>
    <n v="681729"/>
  </r>
  <r>
    <x v="139"/>
    <n v="1448173"/>
  </r>
  <r>
    <x v="264"/>
    <n v="1213952"/>
  </r>
  <r>
    <x v="268"/>
    <n v="1656254"/>
  </r>
  <r>
    <x v="269"/>
    <n v="892775"/>
  </r>
  <r>
    <x v="138"/>
    <n v="1094235"/>
  </r>
  <r>
    <x v="270"/>
    <n v="1299310"/>
  </r>
  <r>
    <x v="271"/>
    <n v="1960136"/>
  </r>
  <r>
    <x v="272"/>
    <n v="1967437"/>
  </r>
  <r>
    <x v="119"/>
    <n v="1942794"/>
  </r>
  <r>
    <x v="95"/>
    <n v="1190078"/>
  </r>
  <r>
    <x v="273"/>
    <n v="1048917"/>
  </r>
  <r>
    <x v="274"/>
    <n v="816107"/>
  </r>
  <r>
    <x v="275"/>
    <n v="1656110"/>
  </r>
  <r>
    <x v="276"/>
    <n v="952825"/>
  </r>
  <r>
    <x v="34"/>
    <n v="169039"/>
  </r>
  <r>
    <x v="277"/>
    <n v="1067746"/>
  </r>
  <r>
    <x v="278"/>
    <n v="1070034"/>
  </r>
  <r>
    <x v="279"/>
    <n v="1236138"/>
  </r>
  <r>
    <x v="280"/>
    <n v="1246912"/>
  </r>
  <r>
    <x v="281"/>
    <n v="1054162"/>
  </r>
  <r>
    <x v="282"/>
    <n v="829249"/>
  </r>
  <r>
    <x v="283"/>
    <n v="1168171"/>
  </r>
  <r>
    <x v="284"/>
    <n v="663394"/>
  </r>
  <r>
    <x v="22"/>
    <n v="660147"/>
  </r>
  <r>
    <x v="285"/>
    <n v="1536928"/>
  </r>
  <r>
    <x v="286"/>
    <n v="916478"/>
  </r>
  <r>
    <x v="287"/>
    <n v="469136"/>
  </r>
  <r>
    <x v="288"/>
    <n v="118762"/>
  </r>
  <r>
    <x v="289"/>
    <n v="1533840"/>
  </r>
  <r>
    <x v="290"/>
    <n v="1832603"/>
  </r>
  <r>
    <x v="120"/>
    <n v="1574259"/>
  </r>
  <r>
    <x v="291"/>
    <n v="521135"/>
  </r>
  <r>
    <x v="292"/>
    <n v="727103"/>
  </r>
  <r>
    <x v="293"/>
    <n v="527394"/>
  </r>
  <r>
    <x v="294"/>
    <n v="664080"/>
  </r>
  <r>
    <x v="295"/>
    <n v="665281"/>
  </r>
  <r>
    <x v="150"/>
    <n v="1117705"/>
  </r>
  <r>
    <x v="167"/>
    <n v="843268"/>
  </r>
  <r>
    <x v="101"/>
    <n v="1681170"/>
  </r>
  <r>
    <x v="296"/>
    <n v="1474131"/>
  </r>
  <r>
    <x v="297"/>
    <n v="912043"/>
  </r>
  <r>
    <x v="215"/>
    <n v="463117"/>
  </r>
  <r>
    <x v="245"/>
    <n v="599199"/>
  </r>
  <r>
    <x v="298"/>
    <n v="1306744"/>
  </r>
  <r>
    <x v="66"/>
    <n v="1169291"/>
  </r>
  <r>
    <x v="299"/>
    <n v="1223093"/>
  </r>
  <r>
    <x v="300"/>
    <n v="1743569"/>
  </r>
  <r>
    <x v="301"/>
    <n v="232298"/>
  </r>
  <r>
    <x v="258"/>
    <n v="1579631"/>
  </r>
  <r>
    <x v="32"/>
    <n v="602988"/>
  </r>
  <r>
    <x v="302"/>
    <n v="569958"/>
  </r>
  <r>
    <x v="303"/>
    <n v="1467643"/>
  </r>
  <r>
    <x v="6"/>
    <n v="1972529"/>
  </r>
  <r>
    <x v="304"/>
    <n v="1344853"/>
  </r>
  <r>
    <x v="305"/>
    <n v="437778"/>
  </r>
  <r>
    <x v="306"/>
    <n v="1172854"/>
  </r>
  <r>
    <x v="300"/>
    <n v="1942918"/>
  </r>
  <r>
    <x v="111"/>
    <n v="1165320"/>
  </r>
  <r>
    <x v="307"/>
    <n v="391179"/>
  </r>
  <r>
    <x v="308"/>
    <n v="251475"/>
  </r>
  <r>
    <x v="309"/>
    <n v="1604039"/>
  </r>
  <r>
    <x v="310"/>
    <n v="1478938"/>
  </r>
  <r>
    <x v="311"/>
    <n v="277688"/>
  </r>
  <r>
    <x v="312"/>
    <n v="1373907"/>
  </r>
  <r>
    <x v="313"/>
    <n v="750199"/>
  </r>
  <r>
    <x v="314"/>
    <n v="474437"/>
  </r>
  <r>
    <x v="315"/>
    <n v="1427660"/>
  </r>
  <r>
    <x v="251"/>
    <n v="1820128"/>
  </r>
  <r>
    <x v="316"/>
    <n v="779098"/>
  </r>
  <r>
    <x v="317"/>
    <n v="1529260"/>
  </r>
  <r>
    <x v="318"/>
    <n v="462620"/>
  </r>
  <r>
    <x v="319"/>
    <n v="1569372"/>
  </r>
  <r>
    <x v="320"/>
    <n v="714636"/>
  </r>
  <r>
    <x v="28"/>
    <n v="604472"/>
  </r>
  <r>
    <x v="321"/>
    <n v="403870"/>
  </r>
  <r>
    <x v="79"/>
    <n v="1131281"/>
  </r>
  <r>
    <x v="322"/>
    <n v="1014930"/>
  </r>
  <r>
    <x v="323"/>
    <n v="942001"/>
  </r>
  <r>
    <x v="324"/>
    <n v="825266"/>
  </r>
  <r>
    <x v="325"/>
    <n v="430192"/>
  </r>
  <r>
    <x v="218"/>
    <n v="1967787"/>
  </r>
  <r>
    <x v="326"/>
    <n v="1361046"/>
  </r>
  <r>
    <x v="327"/>
    <n v="468501"/>
  </r>
  <r>
    <x v="1"/>
    <n v="1326611"/>
  </r>
  <r>
    <x v="328"/>
    <n v="1375725"/>
  </r>
  <r>
    <x v="329"/>
    <n v="1086623"/>
  </r>
  <r>
    <x v="330"/>
    <n v="1656907"/>
  </r>
  <r>
    <x v="1"/>
    <n v="875430"/>
  </r>
  <r>
    <x v="186"/>
    <n v="474168"/>
  </r>
  <r>
    <x v="331"/>
    <n v="1976646"/>
  </r>
  <r>
    <x v="332"/>
    <n v="1779452"/>
  </r>
  <r>
    <x v="333"/>
    <n v="1704858"/>
  </r>
  <r>
    <x v="334"/>
    <n v="1799800"/>
  </r>
  <r>
    <x v="202"/>
    <n v="1640957"/>
  </r>
  <r>
    <x v="335"/>
    <n v="1856588"/>
  </r>
  <r>
    <x v="336"/>
    <n v="352968"/>
  </r>
  <r>
    <x v="337"/>
    <n v="367120"/>
  </r>
  <r>
    <x v="338"/>
    <n v="479738"/>
  </r>
  <r>
    <x v="138"/>
    <n v="1879855"/>
  </r>
  <r>
    <x v="339"/>
    <n v="842575"/>
  </r>
  <r>
    <x v="37"/>
    <n v="1119312"/>
  </r>
  <r>
    <x v="340"/>
    <n v="1197381"/>
  </r>
  <r>
    <x v="341"/>
    <n v="1025554"/>
  </r>
  <r>
    <x v="342"/>
    <n v="1002921"/>
  </r>
  <r>
    <x v="343"/>
    <n v="264697"/>
  </r>
  <r>
    <x v="44"/>
    <n v="1344344"/>
  </r>
  <r>
    <x v="344"/>
    <n v="1324274"/>
  </r>
  <r>
    <x v="345"/>
    <n v="1094736"/>
  </r>
  <r>
    <x v="346"/>
    <n v="1191893"/>
  </r>
  <r>
    <x v="347"/>
    <n v="536997"/>
  </r>
  <r>
    <x v="96"/>
    <n v="411436"/>
  </r>
  <r>
    <x v="348"/>
    <n v="363956"/>
  </r>
  <r>
    <x v="52"/>
    <n v="590539"/>
  </r>
  <r>
    <x v="349"/>
    <n v="431699"/>
  </r>
  <r>
    <x v="350"/>
    <n v="1539350"/>
  </r>
  <r>
    <x v="351"/>
    <n v="1207999"/>
  </r>
  <r>
    <x v="352"/>
    <n v="1316157"/>
  </r>
  <r>
    <x v="353"/>
    <n v="565372"/>
  </r>
  <r>
    <x v="354"/>
    <n v="436078"/>
  </r>
  <r>
    <x v="117"/>
    <n v="1020881"/>
  </r>
  <r>
    <x v="355"/>
    <n v="520971"/>
  </r>
  <r>
    <x v="356"/>
    <n v="215618"/>
  </r>
  <r>
    <x v="101"/>
    <n v="1409033"/>
  </r>
  <r>
    <x v="357"/>
    <n v="339499"/>
  </r>
  <r>
    <x v="358"/>
    <n v="1313694"/>
  </r>
  <r>
    <x v="239"/>
    <n v="469760"/>
  </r>
  <r>
    <x v="359"/>
    <n v="265915"/>
  </r>
  <r>
    <x v="360"/>
    <n v="226010"/>
  </r>
  <r>
    <x v="361"/>
    <n v="497421"/>
  </r>
  <r>
    <x v="362"/>
    <n v="1589864"/>
  </r>
  <r>
    <x v="324"/>
    <n v="1863212"/>
  </r>
  <r>
    <x v="363"/>
    <n v="1376455"/>
  </r>
  <r>
    <x v="364"/>
    <n v="1797442"/>
  </r>
  <r>
    <x v="38"/>
    <n v="365341"/>
  </r>
  <r>
    <x v="118"/>
    <n v="1190743"/>
  </r>
  <r>
    <x v="365"/>
    <n v="1278980"/>
  </r>
  <r>
    <x v="366"/>
    <n v="843311"/>
  </r>
  <r>
    <x v="143"/>
    <n v="1769124"/>
  </r>
  <r>
    <x v="367"/>
    <n v="1312405"/>
  </r>
  <r>
    <x v="368"/>
    <n v="1938035"/>
  </r>
  <r>
    <x v="271"/>
    <n v="1029599"/>
  </r>
  <r>
    <x v="369"/>
    <n v="1431821"/>
  </r>
  <r>
    <x v="370"/>
    <n v="102869"/>
  </r>
  <r>
    <x v="213"/>
    <n v="1156923"/>
  </r>
  <r>
    <x v="371"/>
    <n v="1585162"/>
  </r>
  <r>
    <x v="372"/>
    <n v="1937769"/>
  </r>
  <r>
    <x v="373"/>
    <n v="382416"/>
  </r>
  <r>
    <x v="150"/>
    <n v="1514327"/>
  </r>
  <r>
    <x v="319"/>
    <n v="697758"/>
  </r>
  <r>
    <x v="374"/>
    <n v="557074"/>
  </r>
  <r>
    <x v="190"/>
    <n v="1149044"/>
  </r>
  <r>
    <x v="375"/>
    <n v="450093"/>
  </r>
  <r>
    <x v="376"/>
    <n v="916858"/>
  </r>
  <r>
    <x v="25"/>
    <n v="1367225"/>
  </r>
  <r>
    <x v="377"/>
    <n v="1711944"/>
  </r>
  <r>
    <x v="378"/>
    <n v="716186"/>
  </r>
  <r>
    <x v="379"/>
    <n v="104923"/>
  </r>
  <r>
    <x v="380"/>
    <n v="1443459"/>
  </r>
  <r>
    <x v="124"/>
    <n v="347317"/>
  </r>
  <r>
    <x v="22"/>
    <n v="1445439"/>
  </r>
  <r>
    <x v="81"/>
    <n v="523743"/>
  </r>
  <r>
    <x v="4"/>
    <n v="1679052"/>
  </r>
  <r>
    <x v="143"/>
    <n v="1462239"/>
  </r>
  <r>
    <x v="261"/>
    <n v="260027"/>
  </r>
  <r>
    <x v="315"/>
    <n v="927343"/>
  </r>
  <r>
    <x v="381"/>
    <n v="1174900"/>
  </r>
  <r>
    <x v="82"/>
    <n v="1791103"/>
  </r>
  <r>
    <x v="382"/>
    <n v="686787"/>
  </r>
  <r>
    <x v="383"/>
    <n v="278875"/>
  </r>
  <r>
    <x v="365"/>
    <n v="1077451"/>
  </r>
  <r>
    <x v="384"/>
    <n v="665083"/>
  </r>
  <r>
    <x v="104"/>
    <n v="1345643"/>
  </r>
  <r>
    <x v="385"/>
    <n v="1193254"/>
  </r>
  <r>
    <x v="155"/>
    <n v="1118104"/>
  </r>
  <r>
    <x v="386"/>
    <n v="213911"/>
  </r>
  <r>
    <x v="173"/>
    <n v="699657"/>
  </r>
  <r>
    <x v="201"/>
    <n v="1147339"/>
  </r>
  <r>
    <x v="364"/>
    <n v="878630"/>
  </r>
  <r>
    <x v="387"/>
    <n v="843619"/>
  </r>
  <r>
    <x v="388"/>
    <n v="976503"/>
  </r>
  <r>
    <x v="389"/>
    <n v="1702003"/>
  </r>
  <r>
    <x v="160"/>
    <n v="369219"/>
  </r>
  <r>
    <x v="390"/>
    <n v="1167871"/>
  </r>
  <r>
    <x v="391"/>
    <n v="686353"/>
  </r>
  <r>
    <x v="99"/>
    <n v="1973428"/>
  </r>
  <r>
    <x v="29"/>
    <n v="230051"/>
  </r>
  <r>
    <x v="392"/>
    <n v="848197"/>
  </r>
  <r>
    <x v="285"/>
    <n v="1512915"/>
  </r>
  <r>
    <x v="64"/>
    <n v="2178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01C0BF-9495-4424-8356-3F6E98B9C29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F8" firstHeaderRow="0" firstDataRow="1" firstDataCol="1" rowPageCount="1" colPageCount="1"/>
  <pivotFields count="17">
    <pivotField dataField="1"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axis="axisPage" dataField="1" showAll="0">
      <items count="4">
        <item x="1"/>
        <item x="0"/>
        <item x="2"/>
        <item t="default"/>
      </items>
    </pivotField>
    <pivotField showAll="0">
      <items count="787">
        <item m="1" x="688"/>
        <item m="1" x="468"/>
        <item m="1" x="643"/>
        <item m="1" x="394"/>
        <item m="1" x="434"/>
        <item m="1" x="710"/>
        <item m="1" x="551"/>
        <item m="1" x="738"/>
        <item m="1" x="780"/>
        <item m="1" x="678"/>
        <item m="1" x="636"/>
        <item m="1" x="605"/>
        <item m="1" x="464"/>
        <item m="1" x="440"/>
        <item m="1" x="723"/>
        <item m="1" x="617"/>
        <item m="1" x="442"/>
        <item m="1" x="499"/>
        <item m="1" x="668"/>
        <item m="1" x="598"/>
        <item m="1" x="679"/>
        <item m="1" x="765"/>
        <item m="1" x="662"/>
        <item m="1" x="408"/>
        <item m="1" x="741"/>
        <item m="1" x="438"/>
        <item m="1" x="577"/>
        <item m="1" x="559"/>
        <item m="1" x="619"/>
        <item m="1" x="554"/>
        <item m="1" x="781"/>
        <item m="1" x="504"/>
        <item m="1" x="453"/>
        <item m="1" x="526"/>
        <item m="1" x="711"/>
        <item m="1" x="743"/>
        <item m="1" x="736"/>
        <item m="1" x="418"/>
        <item m="1" x="721"/>
        <item m="1" x="675"/>
        <item m="1" x="676"/>
        <item m="1" x="625"/>
        <item m="1" x="618"/>
        <item m="1" x="785"/>
        <item m="1" x="644"/>
        <item m="1" x="747"/>
        <item m="1" x="762"/>
        <item m="1" x="783"/>
        <item m="1" x="596"/>
        <item m="1" x="481"/>
        <item m="1" x="575"/>
        <item m="1" x="552"/>
        <item m="1" x="595"/>
        <item m="1" x="622"/>
        <item m="1" x="429"/>
        <item m="1" x="603"/>
        <item m="1" x="637"/>
        <item m="1" x="750"/>
        <item m="1" x="420"/>
        <item m="1" x="732"/>
        <item m="1" x="696"/>
        <item m="1" x="502"/>
        <item m="1" x="776"/>
        <item m="1" x="558"/>
        <item m="1" x="540"/>
        <item m="1" x="753"/>
        <item m="1" x="658"/>
        <item m="1" x="775"/>
        <item m="1" x="633"/>
        <item m="1" x="451"/>
        <item m="1" x="657"/>
        <item m="1" x="611"/>
        <item m="1" x="495"/>
        <item m="1" x="664"/>
        <item m="1" x="663"/>
        <item m="1" x="735"/>
        <item m="1" x="759"/>
        <item m="1" x="620"/>
        <item m="1" x="769"/>
        <item m="1" x="681"/>
        <item m="1" x="587"/>
        <item m="1" x="459"/>
        <item m="1" x="555"/>
        <item m="1" x="627"/>
        <item m="1" x="761"/>
        <item m="1" x="632"/>
        <item m="1" x="702"/>
        <item m="1" x="782"/>
        <item m="1" x="482"/>
        <item m="1" x="707"/>
        <item m="1" x="712"/>
        <item m="1" x="665"/>
        <item m="1" x="602"/>
        <item m="1" x="647"/>
        <item m="1" x="441"/>
        <item m="1" x="461"/>
        <item m="1" x="614"/>
        <item m="1" x="570"/>
        <item m="1" x="449"/>
        <item m="1" x="537"/>
        <item m="1" x="416"/>
        <item m="1" x="716"/>
        <item m="1" x="571"/>
        <item m="1" x="528"/>
        <item m="1" x="479"/>
        <item m="1" x="548"/>
        <item m="1" x="553"/>
        <item m="1" x="549"/>
        <item m="1" x="600"/>
        <item m="1" x="534"/>
        <item m="1" x="424"/>
        <item m="1" x="729"/>
        <item m="1" x="609"/>
        <item m="1" x="621"/>
        <item m="1" x="490"/>
        <item m="1" x="639"/>
        <item m="1" x="522"/>
        <item m="1" x="447"/>
        <item m="1" x="715"/>
        <item m="1" x="469"/>
        <item m="1" x="650"/>
        <item m="1" x="525"/>
        <item m="1" x="630"/>
        <item m="1" x="543"/>
        <item m="1" x="652"/>
        <item m="1" x="599"/>
        <item m="1" x="758"/>
        <item m="1" x="563"/>
        <item m="1" x="744"/>
        <item m="1" x="613"/>
        <item m="1" x="399"/>
        <item m="1" x="683"/>
        <item m="1" x="446"/>
        <item m="1" x="488"/>
        <item m="1" x="532"/>
        <item m="1" x="573"/>
        <item m="1" x="560"/>
        <item m="1" x="671"/>
        <item m="1" x="564"/>
        <item m="1" x="697"/>
        <item m="1" x="515"/>
        <item m="1" x="638"/>
        <item m="1" x="579"/>
        <item m="1" x="626"/>
        <item m="1" x="457"/>
        <item m="1" x="456"/>
        <item m="1" x="393"/>
        <item m="1" x="739"/>
        <item m="1" x="419"/>
        <item m="1" x="607"/>
        <item m="1" x="774"/>
        <item m="1" x="685"/>
        <item m="1" x="503"/>
        <item m="1" x="414"/>
        <item m="1" x="673"/>
        <item m="1" x="755"/>
        <item m="1" x="740"/>
        <item m="1" x="572"/>
        <item m="1" x="616"/>
        <item m="1" x="586"/>
        <item m="1" x="737"/>
        <item m="1" x="669"/>
        <item m="1" x="757"/>
        <item m="1" x="473"/>
        <item m="1" x="491"/>
        <item m="1" x="720"/>
        <item m="1" x="722"/>
        <item m="1" x="412"/>
        <item m="1" x="530"/>
        <item m="1" x="542"/>
        <item m="1" x="724"/>
        <item m="1" x="476"/>
        <item m="1" x="766"/>
        <item m="1" x="580"/>
        <item m="1" x="629"/>
        <item m="1" x="500"/>
        <item m="1" x="518"/>
        <item m="1" x="426"/>
        <item m="1" x="445"/>
        <item m="1" x="583"/>
        <item m="1" x="686"/>
        <item m="1" x="624"/>
        <item m="1" x="667"/>
        <item m="1" x="395"/>
        <item m="1" x="489"/>
        <item m="1" x="645"/>
        <item m="1" x="410"/>
        <item m="1" x="727"/>
        <item m="1" x="521"/>
        <item m="1" x="509"/>
        <item m="1" x="742"/>
        <item m="1" x="545"/>
        <item m="1" x="460"/>
        <item m="1" x="659"/>
        <item m="1" x="623"/>
        <item m="1" x="471"/>
        <item m="1" x="496"/>
        <item m="1" x="421"/>
        <item m="1" x="734"/>
        <item m="1" x="588"/>
        <item m="1" x="437"/>
        <item m="1" x="604"/>
        <item m="1" x="745"/>
        <item m="1" x="475"/>
        <item m="1" x="507"/>
        <item m="1" x="531"/>
        <item m="1" x="427"/>
        <item m="1" x="546"/>
        <item m="1" x="779"/>
        <item m="1" x="701"/>
        <item m="1" x="642"/>
        <item m="1" x="439"/>
        <item m="1" x="547"/>
        <item m="1" x="402"/>
        <item m="1" x="705"/>
        <item m="1" x="693"/>
        <item m="1" x="444"/>
        <item m="1" x="578"/>
        <item m="1" x="398"/>
        <item m="1" x="682"/>
        <item m="1" x="513"/>
        <item m="1" x="713"/>
        <item m="1" x="462"/>
        <item m="1" x="590"/>
        <item m="1" x="651"/>
        <item m="1" x="748"/>
        <item m="1" x="764"/>
        <item m="1" x="435"/>
        <item m="1" x="455"/>
        <item m="1" x="422"/>
        <item m="1" x="592"/>
        <item m="1" x="520"/>
        <item m="1" x="535"/>
        <item m="1" x="631"/>
        <item m="1" x="615"/>
        <item m="1" x="591"/>
        <item m="1" x="463"/>
        <item m="1" x="646"/>
        <item m="1" x="485"/>
        <item m="1" x="512"/>
        <item m="1" x="778"/>
        <item m="1" x="516"/>
        <item m="1" x="405"/>
        <item m="1" x="725"/>
        <item m="1" x="413"/>
        <item m="1" x="506"/>
        <item m="1" x="772"/>
        <item m="1" x="483"/>
        <item m="1" x="403"/>
        <item m="1" x="700"/>
        <item m="1" x="407"/>
        <item m="1" x="581"/>
        <item m="1" x="529"/>
        <item m="1" x="726"/>
        <item m="1" x="550"/>
        <item m="1" x="670"/>
        <item m="1" x="436"/>
        <item m="1" x="694"/>
        <item m="1" x="524"/>
        <item m="1" x="452"/>
        <item m="1" x="576"/>
        <item m="1" x="556"/>
        <item m="1" x="601"/>
        <item m="1" x="567"/>
        <item m="1" x="699"/>
        <item m="1" x="467"/>
        <item m="1" x="666"/>
        <item m="1" x="691"/>
        <item m="1" x="706"/>
        <item m="1" x="653"/>
        <item m="1" x="443"/>
        <item m="1" x="770"/>
        <item m="1" x="582"/>
        <item m="1" x="612"/>
        <item m="1" x="731"/>
        <item m="1" x="635"/>
        <item m="1" x="608"/>
        <item m="1" x="425"/>
        <item m="1" x="640"/>
        <item m="1" x="594"/>
        <item m="1" x="728"/>
        <item m="1" x="448"/>
        <item m="1" x="541"/>
        <item m="1" x="493"/>
        <item m="1" x="719"/>
        <item m="1" x="708"/>
        <item m="1" x="536"/>
        <item m="1" x="704"/>
        <item m="1" x="396"/>
        <item m="1" x="478"/>
        <item m="1" x="703"/>
        <item m="1" x="492"/>
        <item m="1" x="397"/>
        <item m="1" x="584"/>
        <item m="1" x="773"/>
        <item m="1" x="746"/>
        <item m="1" x="474"/>
        <item m="1" x="401"/>
        <item m="1" x="431"/>
        <item m="1" x="784"/>
        <item m="1" x="409"/>
        <item m="1" x="585"/>
        <item m="1" x="730"/>
        <item m="1" x="714"/>
        <item m="1" x="544"/>
        <item m="1" x="689"/>
        <item m="1" x="695"/>
        <item m="1" x="752"/>
        <item m="1" x="466"/>
        <item m="1" x="684"/>
        <item m="1" x="768"/>
        <item m="1" x="568"/>
        <item m="1" x="480"/>
        <item m="1" x="692"/>
        <item m="1" x="606"/>
        <item m="1" x="756"/>
        <item m="1" x="432"/>
        <item m="1" x="717"/>
        <item m="1" x="641"/>
        <item m="1" x="648"/>
        <item m="1" x="569"/>
        <item m="1" x="477"/>
        <item m="1" x="486"/>
        <item m="1" x="411"/>
        <item m="1" x="767"/>
        <item m="1" x="511"/>
        <item m="1" x="660"/>
        <item m="1" x="656"/>
        <item m="1" x="628"/>
        <item m="1" x="510"/>
        <item m="1" x="514"/>
        <item m="1" x="763"/>
        <item m="1" x="465"/>
        <item m="1" x="754"/>
        <item m="1" x="450"/>
        <item m="1" x="760"/>
        <item m="1" x="519"/>
        <item m="1" x="557"/>
        <item m="1" x="698"/>
        <item m="1" x="538"/>
        <item m="1" x="423"/>
        <item m="1" x="523"/>
        <item m="1" x="470"/>
        <item m="1" x="533"/>
        <item m="1" x="406"/>
        <item m="1" x="777"/>
        <item m="1" x="661"/>
        <item m="1" x="505"/>
        <item m="1" x="749"/>
        <item m="1" x="610"/>
        <item m="1" x="672"/>
        <item m="1" x="565"/>
        <item m="1" x="487"/>
        <item m="1" x="751"/>
        <item m="1" x="574"/>
        <item m="1" x="539"/>
        <item m="1" x="733"/>
        <item m="1" x="400"/>
        <item m="1" x="690"/>
        <item m="1" x="430"/>
        <item m="1" x="417"/>
        <item m="1" x="484"/>
        <item m="1" x="677"/>
        <item m="1" x="501"/>
        <item m="1" x="517"/>
        <item m="1" x="562"/>
        <item m="1" x="498"/>
        <item m="1" x="404"/>
        <item m="1" x="687"/>
        <item m="1" x="497"/>
        <item m="1" x="566"/>
        <item m="1" x="589"/>
        <item m="1" x="428"/>
        <item m="1" x="674"/>
        <item m="1" x="649"/>
        <item m="1" x="458"/>
        <item m="1" x="433"/>
        <item m="1" x="472"/>
        <item m="1" x="561"/>
        <item m="1" x="454"/>
        <item m="1" x="593"/>
        <item m="1" x="654"/>
        <item m="1" x="718"/>
        <item m="1" x="655"/>
        <item m="1" x="494"/>
        <item m="1" x="680"/>
        <item m="1" x="771"/>
        <item m="1" x="527"/>
        <item m="1" x="634"/>
        <item m="1" x="508"/>
        <item m="1" x="415"/>
        <item m="1" x="597"/>
        <item m="1" x="709"/>
        <item x="295"/>
        <item x="75"/>
        <item x="250"/>
        <item x="1"/>
        <item x="41"/>
        <item x="317"/>
        <item x="158"/>
        <item x="345"/>
        <item x="387"/>
        <item x="285"/>
        <item x="243"/>
        <item x="212"/>
        <item x="71"/>
        <item x="47"/>
        <item x="330"/>
        <item x="224"/>
        <item x="49"/>
        <item x="106"/>
        <item x="275"/>
        <item x="205"/>
        <item x="286"/>
        <item x="372"/>
        <item x="269"/>
        <item x="15"/>
        <item x="348"/>
        <item x="45"/>
        <item x="184"/>
        <item x="166"/>
        <item x="226"/>
        <item x="161"/>
        <item x="388"/>
        <item x="111"/>
        <item x="60"/>
        <item x="133"/>
        <item x="318"/>
        <item x="350"/>
        <item x="343"/>
        <item x="25"/>
        <item x="328"/>
        <item x="282"/>
        <item x="283"/>
        <item x="232"/>
        <item x="225"/>
        <item x="392"/>
        <item x="251"/>
        <item x="354"/>
        <item x="369"/>
        <item x="390"/>
        <item x="203"/>
        <item x="88"/>
        <item x="182"/>
        <item x="159"/>
        <item x="202"/>
        <item x="229"/>
        <item x="36"/>
        <item x="210"/>
        <item x="244"/>
        <item x="357"/>
        <item x="27"/>
        <item x="339"/>
        <item x="303"/>
        <item x="109"/>
        <item x="383"/>
        <item x="165"/>
        <item x="147"/>
        <item x="360"/>
        <item x="265"/>
        <item x="382"/>
        <item x="240"/>
        <item x="58"/>
        <item x="264"/>
        <item x="218"/>
        <item x="102"/>
        <item x="271"/>
        <item x="270"/>
        <item x="342"/>
        <item x="366"/>
        <item x="227"/>
        <item x="376"/>
        <item x="288"/>
        <item x="194"/>
        <item x="66"/>
        <item x="162"/>
        <item x="234"/>
        <item x="368"/>
        <item x="239"/>
        <item x="309"/>
        <item x="389"/>
        <item x="89"/>
        <item x="314"/>
        <item x="319"/>
        <item x="272"/>
        <item x="209"/>
        <item x="254"/>
        <item x="48"/>
        <item x="68"/>
        <item x="221"/>
        <item x="177"/>
        <item x="56"/>
        <item x="144"/>
        <item x="23"/>
        <item x="323"/>
        <item x="178"/>
        <item x="135"/>
        <item x="86"/>
        <item x="155"/>
        <item x="160"/>
        <item x="156"/>
        <item x="207"/>
        <item x="141"/>
        <item x="31"/>
        <item x="336"/>
        <item x="216"/>
        <item x="228"/>
        <item x="97"/>
        <item x="246"/>
        <item x="129"/>
        <item x="54"/>
        <item x="322"/>
        <item x="76"/>
        <item x="257"/>
        <item x="132"/>
        <item x="237"/>
        <item x="150"/>
        <item x="259"/>
        <item x="206"/>
        <item x="365"/>
        <item x="170"/>
        <item x="351"/>
        <item x="220"/>
        <item x="6"/>
        <item x="290"/>
        <item x="53"/>
        <item x="95"/>
        <item x="139"/>
        <item x="180"/>
        <item x="167"/>
        <item x="278"/>
        <item x="171"/>
        <item x="304"/>
        <item x="122"/>
        <item x="245"/>
        <item x="186"/>
        <item x="233"/>
        <item x="64"/>
        <item x="63"/>
        <item x="0"/>
        <item x="346"/>
        <item x="26"/>
        <item x="214"/>
        <item x="381"/>
        <item x="292"/>
        <item x="110"/>
        <item x="21"/>
        <item x="280"/>
        <item x="362"/>
        <item x="347"/>
        <item x="179"/>
        <item x="223"/>
        <item x="193"/>
        <item x="344"/>
        <item x="276"/>
        <item x="364"/>
        <item x="80"/>
        <item x="98"/>
        <item x="327"/>
        <item x="329"/>
        <item x="19"/>
        <item x="137"/>
        <item x="149"/>
        <item x="331"/>
        <item x="83"/>
        <item x="373"/>
        <item x="187"/>
        <item x="236"/>
        <item x="107"/>
        <item x="125"/>
        <item x="33"/>
        <item x="52"/>
        <item x="190"/>
        <item x="293"/>
        <item x="231"/>
        <item x="274"/>
        <item x="2"/>
        <item x="96"/>
        <item x="252"/>
        <item x="17"/>
        <item x="334"/>
        <item x="128"/>
        <item x="116"/>
        <item x="349"/>
        <item x="152"/>
        <item x="67"/>
        <item x="266"/>
        <item x="230"/>
        <item x="78"/>
        <item x="103"/>
        <item x="28"/>
        <item x="341"/>
        <item x="195"/>
        <item x="44"/>
        <item x="211"/>
        <item x="352"/>
        <item x="82"/>
        <item x="114"/>
        <item x="138"/>
        <item x="34"/>
        <item x="153"/>
        <item x="386"/>
        <item x="308"/>
        <item x="249"/>
        <item x="46"/>
        <item x="154"/>
        <item x="9"/>
        <item x="312"/>
        <item x="300"/>
        <item x="51"/>
        <item x="185"/>
        <item x="5"/>
        <item x="289"/>
        <item x="120"/>
        <item x="320"/>
        <item x="69"/>
        <item x="197"/>
        <item x="258"/>
        <item x="355"/>
        <item x="371"/>
        <item x="42"/>
        <item x="62"/>
        <item x="29"/>
        <item x="199"/>
        <item x="127"/>
        <item x="142"/>
        <item x="238"/>
        <item x="222"/>
        <item x="198"/>
        <item x="70"/>
        <item x="253"/>
        <item x="92"/>
        <item x="119"/>
        <item x="385"/>
        <item x="123"/>
        <item x="12"/>
        <item x="332"/>
        <item x="20"/>
        <item x="113"/>
        <item x="379"/>
        <item x="90"/>
        <item x="10"/>
        <item x="307"/>
        <item x="14"/>
        <item x="188"/>
        <item x="136"/>
        <item x="333"/>
        <item x="157"/>
        <item x="277"/>
        <item x="43"/>
        <item x="301"/>
        <item x="131"/>
        <item x="59"/>
        <item x="183"/>
        <item x="163"/>
        <item x="208"/>
        <item x="174"/>
        <item x="306"/>
        <item x="74"/>
        <item x="273"/>
        <item x="298"/>
        <item x="313"/>
        <item x="260"/>
        <item x="50"/>
        <item x="377"/>
        <item x="189"/>
        <item x="219"/>
        <item x="338"/>
        <item x="242"/>
        <item x="215"/>
        <item x="32"/>
        <item x="247"/>
        <item x="201"/>
        <item x="335"/>
        <item x="55"/>
        <item x="148"/>
        <item x="100"/>
        <item x="326"/>
        <item x="315"/>
        <item x="143"/>
        <item x="311"/>
        <item x="3"/>
        <item x="85"/>
        <item x="310"/>
        <item x="99"/>
        <item x="4"/>
        <item x="191"/>
        <item x="380"/>
        <item x="353"/>
        <item x="81"/>
        <item x="8"/>
        <item x="38"/>
        <item x="391"/>
        <item x="16"/>
        <item x="192"/>
        <item x="337"/>
        <item x="321"/>
        <item x="151"/>
        <item x="296"/>
        <item x="302"/>
        <item x="359"/>
        <item x="73"/>
        <item x="291"/>
        <item x="375"/>
        <item x="175"/>
        <item x="87"/>
        <item x="299"/>
        <item x="213"/>
        <item x="363"/>
        <item x="39"/>
        <item x="324"/>
        <item x="248"/>
        <item x="255"/>
        <item x="176"/>
        <item x="84"/>
        <item x="93"/>
        <item x="18"/>
        <item x="374"/>
        <item x="118"/>
        <item x="267"/>
        <item x="263"/>
        <item x="235"/>
        <item x="117"/>
        <item x="121"/>
        <item x="370"/>
        <item x="72"/>
        <item x="361"/>
        <item x="57"/>
        <item x="367"/>
        <item x="126"/>
        <item x="164"/>
        <item x="305"/>
        <item x="145"/>
        <item x="30"/>
        <item x="130"/>
        <item x="77"/>
        <item x="140"/>
        <item x="13"/>
        <item x="384"/>
        <item x="268"/>
        <item x="112"/>
        <item x="356"/>
        <item x="217"/>
        <item x="279"/>
        <item x="172"/>
        <item x="94"/>
        <item x="358"/>
        <item x="181"/>
        <item x="146"/>
        <item x="340"/>
        <item x="7"/>
        <item x="297"/>
        <item x="37"/>
        <item x="24"/>
        <item x="91"/>
        <item x="284"/>
        <item x="108"/>
        <item x="124"/>
        <item x="169"/>
        <item x="105"/>
        <item x="11"/>
        <item x="294"/>
        <item x="104"/>
        <item x="173"/>
        <item x="196"/>
        <item x="35"/>
        <item x="281"/>
        <item x="256"/>
        <item x="65"/>
        <item x="40"/>
        <item x="79"/>
        <item x="168"/>
        <item x="61"/>
        <item x="200"/>
        <item x="261"/>
        <item x="325"/>
        <item x="262"/>
        <item x="101"/>
        <item x="287"/>
        <item x="378"/>
        <item x="134"/>
        <item x="241"/>
        <item x="115"/>
        <item x="22"/>
        <item x="204"/>
        <item x="316"/>
        <item t="default"/>
      </items>
    </pivotField>
    <pivotField showAll="0"/>
    <pivotField showAll="0"/>
    <pivotField showAll="0"/>
    <pivotField showAll="0"/>
  </pivotFields>
  <rowFields count="1">
    <field x="9"/>
  </rowFields>
  <rowItems count="5">
    <i>
      <x/>
    </i>
    <i>
      <x v="1"/>
    </i>
    <i>
      <x v="2"/>
    </i>
    <i>
      <x v="3"/>
    </i>
    <i t="grand">
      <x/>
    </i>
  </rowItems>
  <colFields count="1">
    <field x="-2"/>
  </colFields>
  <colItems count="2">
    <i>
      <x/>
    </i>
    <i i="1">
      <x v="1"/>
    </i>
  </colItems>
  <pageFields count="1">
    <pageField fld="11" item="2" hier="-1"/>
  </pageFields>
  <dataFields count="2">
    <dataField name="Count of LoanID" fld="0" subtotal="count" baseField="0" baseItem="0"/>
    <dataField name="Count of Status" fld="11" subtotal="count" baseField="0" baseItem="0"/>
  </dataFields>
  <formats count="12">
    <format dxfId="18">
      <pivotArea type="all" dataOnly="0" outline="0" fieldPosition="0"/>
    </format>
    <format dxfId="17">
      <pivotArea outline="0" collapsedLevelsAreSubtotals="1" fieldPosition="0"/>
    </format>
    <format dxfId="16">
      <pivotArea field="9" type="button" dataOnly="0" labelOnly="1" outline="0" axis="axisRow" fieldPosition="0"/>
    </format>
    <format dxfId="15">
      <pivotArea dataOnly="0" labelOnly="1" fieldPosition="0">
        <references count="1">
          <reference field="9" count="0"/>
        </references>
      </pivotArea>
    </format>
    <format dxfId="14">
      <pivotArea dataOnly="0" labelOnly="1" grandRow="1" outline="0" fieldPosition="0"/>
    </format>
    <format dxfId="13">
      <pivotArea dataOnly="0" labelOnly="1" outline="0" fieldPosition="0">
        <references count="1">
          <reference field="4294967294" count="2">
            <x v="0"/>
            <x v="1"/>
          </reference>
        </references>
      </pivotArea>
    </format>
    <format dxfId="12">
      <pivotArea type="all" dataOnly="0" outline="0" fieldPosition="0"/>
    </format>
    <format dxfId="11">
      <pivotArea outline="0" collapsedLevelsAreSubtotals="1" fieldPosition="0"/>
    </format>
    <format dxfId="10">
      <pivotArea field="9" type="button" dataOnly="0" labelOnly="1" outline="0" axis="axisRow" fieldPosition="0"/>
    </format>
    <format dxfId="9">
      <pivotArea dataOnly="0" labelOnly="1" fieldPosition="0">
        <references count="1">
          <reference field="9" count="0"/>
        </references>
      </pivotArea>
    </format>
    <format dxfId="8">
      <pivotArea dataOnly="0" labelOnly="1" grandRow="1" outline="0" fieldPosition="0"/>
    </format>
    <format dxfId="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5FBDBC-7AE8-4EBB-946C-B7EE8730C08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S9" firstHeaderRow="1" firstDataRow="2" firstDataCol="1"/>
  <pivotFields count="17">
    <pivotField dataField="1" showAll="0"/>
    <pivotField showAll="0"/>
    <pivotField showAll="0"/>
    <pivotField showAll="0"/>
    <pivotField showAll="0"/>
    <pivotField showAll="0"/>
    <pivotField showAll="0"/>
    <pivotField showAll="0"/>
    <pivotField showAll="0">
      <items count="5">
        <item x="1"/>
        <item x="0"/>
        <item x="2"/>
        <item x="3"/>
        <item t="default"/>
      </items>
    </pivotField>
    <pivotField axis="axisRow" showAll="0">
      <items count="5">
        <item x="0"/>
        <item x="1"/>
        <item x="2"/>
        <item x="3"/>
        <item t="default"/>
      </items>
    </pivotField>
    <pivotField showAll="0"/>
    <pivotField axis="axisCol" showAll="0">
      <items count="4">
        <item x="1"/>
        <item x="0"/>
        <item x="2"/>
        <item t="default"/>
      </items>
    </pivotField>
    <pivotField showAll="0"/>
    <pivotField showAll="0"/>
    <pivotField showAll="0"/>
    <pivotField showAll="0"/>
    <pivotField showAll="0">
      <items count="4">
        <item x="0"/>
        <item x="1"/>
        <item x="2"/>
        <item t="default"/>
      </items>
    </pivotField>
  </pivotFields>
  <rowFields count="1">
    <field x="9"/>
  </rowFields>
  <rowItems count="5">
    <i>
      <x/>
    </i>
    <i>
      <x v="1"/>
    </i>
    <i>
      <x v="2"/>
    </i>
    <i>
      <x v="3"/>
    </i>
    <i t="grand">
      <x/>
    </i>
  </rowItems>
  <colFields count="1">
    <field x="11"/>
  </colFields>
  <colItems count="4">
    <i>
      <x/>
    </i>
    <i>
      <x v="1"/>
    </i>
    <i>
      <x v="2"/>
    </i>
    <i t="grand">
      <x/>
    </i>
  </colItems>
  <dataFields count="1">
    <dataField name="Count of LoanID" fld="0" subtotal="count" baseField="0" baseItem="0"/>
  </dataFields>
  <formats count="20">
    <format dxfId="38">
      <pivotArea type="all" dataOnly="0" outline="0" fieldPosition="0"/>
    </format>
    <format dxfId="37">
      <pivotArea outline="0" collapsedLevelsAreSubtotals="1" fieldPosition="0"/>
    </format>
    <format dxfId="36">
      <pivotArea type="origin" dataOnly="0" labelOnly="1" outline="0" fieldPosition="0"/>
    </format>
    <format dxfId="35">
      <pivotArea field="11" type="button" dataOnly="0" labelOnly="1" outline="0" axis="axisCol" fieldPosition="0"/>
    </format>
    <format dxfId="34">
      <pivotArea type="topRight" dataOnly="0" labelOnly="1" outline="0" fieldPosition="0"/>
    </format>
    <format dxfId="33">
      <pivotArea field="9" type="button" dataOnly="0" labelOnly="1" outline="0" axis="axisRow" fieldPosition="0"/>
    </format>
    <format dxfId="32">
      <pivotArea dataOnly="0" labelOnly="1" fieldPosition="0">
        <references count="1">
          <reference field="9" count="0"/>
        </references>
      </pivotArea>
    </format>
    <format dxfId="31">
      <pivotArea dataOnly="0" labelOnly="1" grandRow="1" outline="0" fieldPosition="0"/>
    </format>
    <format dxfId="30">
      <pivotArea dataOnly="0" labelOnly="1" fieldPosition="0">
        <references count="1">
          <reference field="11" count="0"/>
        </references>
      </pivotArea>
    </format>
    <format dxfId="29">
      <pivotArea dataOnly="0" labelOnly="1" grandCol="1" outline="0" fieldPosition="0"/>
    </format>
    <format dxfId="28">
      <pivotArea type="all" dataOnly="0" outline="0" fieldPosition="0"/>
    </format>
    <format dxfId="27">
      <pivotArea outline="0" collapsedLevelsAreSubtotals="1" fieldPosition="0"/>
    </format>
    <format dxfId="26">
      <pivotArea type="origin" dataOnly="0" labelOnly="1" outline="0" fieldPosition="0"/>
    </format>
    <format dxfId="25">
      <pivotArea field="11" type="button" dataOnly="0" labelOnly="1" outline="0" axis="axisCol" fieldPosition="0"/>
    </format>
    <format dxfId="24">
      <pivotArea type="topRight" dataOnly="0" labelOnly="1" outline="0" fieldPosition="0"/>
    </format>
    <format dxfId="23">
      <pivotArea field="9" type="button" dataOnly="0" labelOnly="1" outline="0" axis="axisRow" fieldPosition="0"/>
    </format>
    <format dxfId="22">
      <pivotArea dataOnly="0" labelOnly="1" fieldPosition="0">
        <references count="1">
          <reference field="9" count="0"/>
        </references>
      </pivotArea>
    </format>
    <format dxfId="21">
      <pivotArea dataOnly="0" labelOnly="1" grandRow="1" outline="0" fieldPosition="0"/>
    </format>
    <format dxfId="20">
      <pivotArea dataOnly="0" labelOnly="1" fieldPosition="0">
        <references count="1">
          <reference field="11" count="0"/>
        </references>
      </pivotArea>
    </format>
    <format dxfId="1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75D037-557A-4601-ADC2-BC921AD4B0B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L3:M7" firstHeaderRow="1" firstDataRow="1" firstDataCol="1"/>
  <pivotFields count="5">
    <pivotField axis="axisRow" numFmtId="14" showAll="0">
      <items count="394">
        <item x="295"/>
        <item x="75"/>
        <item x="250"/>
        <item x="1"/>
        <item x="41"/>
        <item x="317"/>
        <item x="158"/>
        <item x="345"/>
        <item x="387"/>
        <item x="285"/>
        <item x="243"/>
        <item x="212"/>
        <item x="71"/>
        <item x="47"/>
        <item x="330"/>
        <item x="224"/>
        <item x="49"/>
        <item x="106"/>
        <item x="275"/>
        <item x="205"/>
        <item x="286"/>
        <item x="372"/>
        <item x="269"/>
        <item x="15"/>
        <item x="348"/>
        <item x="45"/>
        <item x="184"/>
        <item x="166"/>
        <item x="226"/>
        <item x="161"/>
        <item x="388"/>
        <item x="111"/>
        <item x="60"/>
        <item x="133"/>
        <item x="318"/>
        <item x="350"/>
        <item x="343"/>
        <item x="25"/>
        <item x="328"/>
        <item x="282"/>
        <item x="283"/>
        <item x="232"/>
        <item x="225"/>
        <item x="392"/>
        <item x="251"/>
        <item x="354"/>
        <item x="369"/>
        <item x="390"/>
        <item x="203"/>
        <item x="88"/>
        <item x="182"/>
        <item x="159"/>
        <item x="202"/>
        <item x="229"/>
        <item x="36"/>
        <item x="210"/>
        <item x="244"/>
        <item x="357"/>
        <item x="27"/>
        <item x="339"/>
        <item x="303"/>
        <item x="109"/>
        <item x="383"/>
        <item x="165"/>
        <item x="147"/>
        <item x="360"/>
        <item x="265"/>
        <item x="382"/>
        <item x="240"/>
        <item x="58"/>
        <item x="264"/>
        <item x="218"/>
        <item x="102"/>
        <item x="271"/>
        <item x="270"/>
        <item x="342"/>
        <item x="366"/>
        <item x="227"/>
        <item x="376"/>
        <item x="288"/>
        <item x="194"/>
        <item x="66"/>
        <item x="162"/>
        <item x="234"/>
        <item x="368"/>
        <item x="239"/>
        <item x="309"/>
        <item x="389"/>
        <item x="89"/>
        <item x="314"/>
        <item x="319"/>
        <item x="272"/>
        <item x="209"/>
        <item x="254"/>
        <item x="48"/>
        <item x="68"/>
        <item x="221"/>
        <item x="177"/>
        <item x="56"/>
        <item x="144"/>
        <item x="23"/>
        <item x="323"/>
        <item x="178"/>
        <item x="135"/>
        <item x="86"/>
        <item x="155"/>
        <item x="160"/>
        <item x="156"/>
        <item x="207"/>
        <item x="141"/>
        <item x="31"/>
        <item x="336"/>
        <item x="216"/>
        <item x="228"/>
        <item x="97"/>
        <item x="246"/>
        <item x="129"/>
        <item x="54"/>
        <item x="322"/>
        <item x="76"/>
        <item x="257"/>
        <item x="132"/>
        <item x="237"/>
        <item x="150"/>
        <item x="259"/>
        <item x="206"/>
        <item x="365"/>
        <item x="170"/>
        <item x="351"/>
        <item x="220"/>
        <item x="6"/>
        <item x="290"/>
        <item x="53"/>
        <item x="95"/>
        <item x="139"/>
        <item x="180"/>
        <item x="167"/>
        <item x="278"/>
        <item x="171"/>
        <item x="304"/>
        <item x="122"/>
        <item x="245"/>
        <item x="186"/>
        <item x="233"/>
        <item x="64"/>
        <item x="63"/>
        <item x="0"/>
        <item x="346"/>
        <item x="26"/>
        <item x="214"/>
        <item x="381"/>
        <item x="292"/>
        <item x="110"/>
        <item x="21"/>
        <item x="280"/>
        <item x="362"/>
        <item x="347"/>
        <item x="179"/>
        <item x="223"/>
        <item x="193"/>
        <item x="344"/>
        <item x="276"/>
        <item x="364"/>
        <item x="80"/>
        <item x="98"/>
        <item x="327"/>
        <item x="329"/>
        <item x="19"/>
        <item x="137"/>
        <item x="149"/>
        <item x="331"/>
        <item x="83"/>
        <item x="373"/>
        <item x="187"/>
        <item x="236"/>
        <item x="107"/>
        <item x="125"/>
        <item x="33"/>
        <item x="52"/>
        <item x="190"/>
        <item x="293"/>
        <item x="231"/>
        <item x="274"/>
        <item x="2"/>
        <item x="96"/>
        <item x="252"/>
        <item x="17"/>
        <item x="334"/>
        <item x="128"/>
        <item x="116"/>
        <item x="349"/>
        <item x="152"/>
        <item x="67"/>
        <item x="266"/>
        <item x="230"/>
        <item x="78"/>
        <item x="103"/>
        <item x="28"/>
        <item x="341"/>
        <item x="195"/>
        <item x="44"/>
        <item x="211"/>
        <item x="352"/>
        <item x="82"/>
        <item x="114"/>
        <item x="138"/>
        <item x="34"/>
        <item x="153"/>
        <item x="386"/>
        <item x="308"/>
        <item x="249"/>
        <item x="46"/>
        <item x="154"/>
        <item x="9"/>
        <item x="312"/>
        <item x="300"/>
        <item x="51"/>
        <item x="185"/>
        <item x="5"/>
        <item x="289"/>
        <item x="120"/>
        <item x="320"/>
        <item x="69"/>
        <item x="197"/>
        <item x="258"/>
        <item x="355"/>
        <item x="371"/>
        <item x="42"/>
        <item x="62"/>
        <item x="29"/>
        <item x="199"/>
        <item x="127"/>
        <item x="142"/>
        <item x="238"/>
        <item x="222"/>
        <item x="198"/>
        <item x="70"/>
        <item x="253"/>
        <item x="92"/>
        <item x="119"/>
        <item x="385"/>
        <item x="123"/>
        <item x="12"/>
        <item x="332"/>
        <item x="20"/>
        <item x="113"/>
        <item x="379"/>
        <item x="90"/>
        <item x="10"/>
        <item x="307"/>
        <item x="14"/>
        <item x="188"/>
        <item x="136"/>
        <item x="333"/>
        <item x="157"/>
        <item x="277"/>
        <item x="43"/>
        <item x="301"/>
        <item x="131"/>
        <item x="59"/>
        <item x="183"/>
        <item x="163"/>
        <item x="208"/>
        <item x="174"/>
        <item x="306"/>
        <item x="74"/>
        <item x="273"/>
        <item x="298"/>
        <item x="313"/>
        <item x="260"/>
        <item x="50"/>
        <item x="377"/>
        <item x="189"/>
        <item x="219"/>
        <item x="338"/>
        <item x="242"/>
        <item x="215"/>
        <item x="32"/>
        <item x="247"/>
        <item x="201"/>
        <item x="335"/>
        <item x="55"/>
        <item x="148"/>
        <item x="100"/>
        <item x="326"/>
        <item x="315"/>
        <item x="143"/>
        <item x="311"/>
        <item x="3"/>
        <item x="85"/>
        <item x="310"/>
        <item x="99"/>
        <item x="4"/>
        <item x="191"/>
        <item x="380"/>
        <item x="353"/>
        <item x="81"/>
        <item x="8"/>
        <item x="38"/>
        <item x="391"/>
        <item x="16"/>
        <item x="192"/>
        <item x="337"/>
        <item x="321"/>
        <item x="151"/>
        <item x="296"/>
        <item x="302"/>
        <item x="359"/>
        <item x="73"/>
        <item x="291"/>
        <item x="375"/>
        <item x="175"/>
        <item x="87"/>
        <item x="299"/>
        <item x="213"/>
        <item x="363"/>
        <item x="39"/>
        <item x="324"/>
        <item x="248"/>
        <item x="255"/>
        <item x="176"/>
        <item x="84"/>
        <item x="93"/>
        <item x="18"/>
        <item x="374"/>
        <item x="118"/>
        <item x="267"/>
        <item x="263"/>
        <item x="235"/>
        <item x="117"/>
        <item x="121"/>
        <item x="370"/>
        <item x="72"/>
        <item x="361"/>
        <item x="57"/>
        <item x="367"/>
        <item x="126"/>
        <item x="164"/>
        <item x="305"/>
        <item x="145"/>
        <item x="30"/>
        <item x="130"/>
        <item x="77"/>
        <item x="140"/>
        <item x="13"/>
        <item x="384"/>
        <item x="268"/>
        <item x="112"/>
        <item x="356"/>
        <item x="217"/>
        <item x="279"/>
        <item x="172"/>
        <item x="94"/>
        <item x="358"/>
        <item x="181"/>
        <item x="146"/>
        <item x="340"/>
        <item x="7"/>
        <item x="297"/>
        <item x="37"/>
        <item x="24"/>
        <item x="91"/>
        <item x="284"/>
        <item x="108"/>
        <item x="124"/>
        <item x="169"/>
        <item x="105"/>
        <item x="11"/>
        <item x="294"/>
        <item x="104"/>
        <item x="173"/>
        <item x="196"/>
        <item x="35"/>
        <item x="281"/>
        <item x="256"/>
        <item x="65"/>
        <item x="40"/>
        <item x="79"/>
        <item x="168"/>
        <item x="61"/>
        <item x="200"/>
        <item x="261"/>
        <item x="325"/>
        <item x="262"/>
        <item x="101"/>
        <item x="287"/>
        <item x="378"/>
        <item x="134"/>
        <item x="241"/>
        <item x="115"/>
        <item x="22"/>
        <item x="204"/>
        <item x="316"/>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h="1" sd="0" x="0"/>
        <item sd="0" x="1"/>
        <item sd="0" x="2"/>
        <item sd="0" x="3"/>
        <item sd="0" x="4"/>
        <item h="1" sd="0" x="5"/>
        <item t="default"/>
      </items>
    </pivotField>
    <pivotField axis="axisRow" showAll="0">
      <items count="6">
        <item h="1" sd="0" x="0"/>
        <item sd="0" x="1"/>
        <item sd="0" x="2"/>
        <item sd="0" x="3"/>
        <item h="1" sd="0" x="4"/>
        <item t="default"/>
      </items>
    </pivotField>
  </pivotFields>
  <rowFields count="3">
    <field x="4"/>
    <field x="3"/>
    <field x="0"/>
  </rowFields>
  <rowItems count="4">
    <i>
      <x v="1"/>
    </i>
    <i>
      <x v="2"/>
    </i>
    <i>
      <x v="3"/>
    </i>
    <i t="grand">
      <x/>
    </i>
  </rowItems>
  <colItems count="1">
    <i/>
  </colItems>
  <dataFields count="1">
    <dataField name="Sum of LoanAmount" fld="1" baseField="0" baseItem="0"/>
  </dataFields>
  <formats count="12">
    <format dxfId="50">
      <pivotArea type="all" dataOnly="0" outline="0" fieldPosition="0"/>
    </format>
    <format dxfId="49">
      <pivotArea outline="0" collapsedLevelsAreSubtotals="1" fieldPosition="0"/>
    </format>
    <format dxfId="48">
      <pivotArea field="4" type="button" dataOnly="0" labelOnly="1" outline="0" axis="axisRow" fieldPosition="0"/>
    </format>
    <format dxfId="47">
      <pivotArea dataOnly="0" labelOnly="1" fieldPosition="0">
        <references count="1">
          <reference field="4" count="0"/>
        </references>
      </pivotArea>
    </format>
    <format dxfId="46">
      <pivotArea dataOnly="0" labelOnly="1" grandRow="1" outline="0" fieldPosition="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field="4" type="button" dataOnly="0" labelOnly="1" outline="0" axis="axisRow" fieldPosition="0"/>
    </format>
    <format dxfId="41">
      <pivotArea dataOnly="0" labelOnly="1" fieldPosition="0">
        <references count="1">
          <reference field="4" count="0"/>
        </references>
      </pivotArea>
    </format>
    <format dxfId="40">
      <pivotArea dataOnly="0" labelOnly="1" grandRow="1" outline="0" fieldPosition="0"/>
    </format>
    <format dxfId="39">
      <pivotArea dataOnly="0" labelOnly="1" outline="0" axis="axisValues" fieldPosition="0"/>
    </format>
  </format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0DC14F-ADDB-42F3-A8A8-6042A927F88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3:I7" firstHeaderRow="1" firstDataRow="1" firstDataCol="1"/>
  <pivotFields count="17">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787">
        <item m="1" x="688"/>
        <item m="1" x="468"/>
        <item m="1" x="643"/>
        <item m="1" x="394"/>
        <item m="1" x="434"/>
        <item m="1" x="710"/>
        <item m="1" x="551"/>
        <item m="1" x="738"/>
        <item m="1" x="780"/>
        <item m="1" x="678"/>
        <item m="1" x="636"/>
        <item m="1" x="605"/>
        <item m="1" x="464"/>
        <item m="1" x="440"/>
        <item m="1" x="723"/>
        <item m="1" x="617"/>
        <item m="1" x="442"/>
        <item m="1" x="499"/>
        <item m="1" x="668"/>
        <item m="1" x="598"/>
        <item m="1" x="679"/>
        <item m="1" x="765"/>
        <item m="1" x="662"/>
        <item m="1" x="408"/>
        <item m="1" x="741"/>
        <item m="1" x="438"/>
        <item m="1" x="577"/>
        <item m="1" x="559"/>
        <item m="1" x="619"/>
        <item m="1" x="554"/>
        <item m="1" x="781"/>
        <item m="1" x="504"/>
        <item m="1" x="453"/>
        <item m="1" x="526"/>
        <item m="1" x="711"/>
        <item m="1" x="743"/>
        <item m="1" x="736"/>
        <item m="1" x="418"/>
        <item m="1" x="721"/>
        <item m="1" x="675"/>
        <item m="1" x="676"/>
        <item m="1" x="625"/>
        <item m="1" x="618"/>
        <item m="1" x="785"/>
        <item m="1" x="644"/>
        <item m="1" x="747"/>
        <item m="1" x="762"/>
        <item m="1" x="783"/>
        <item m="1" x="596"/>
        <item m="1" x="481"/>
        <item m="1" x="575"/>
        <item m="1" x="552"/>
        <item m="1" x="595"/>
        <item m="1" x="622"/>
        <item m="1" x="429"/>
        <item m="1" x="603"/>
        <item m="1" x="637"/>
        <item m="1" x="750"/>
        <item m="1" x="420"/>
        <item m="1" x="732"/>
        <item m="1" x="696"/>
        <item m="1" x="502"/>
        <item m="1" x="776"/>
        <item m="1" x="558"/>
        <item m="1" x="540"/>
        <item m="1" x="753"/>
        <item m="1" x="658"/>
        <item m="1" x="775"/>
        <item m="1" x="633"/>
        <item m="1" x="451"/>
        <item m="1" x="657"/>
        <item m="1" x="611"/>
        <item m="1" x="495"/>
        <item m="1" x="664"/>
        <item m="1" x="663"/>
        <item m="1" x="735"/>
        <item m="1" x="759"/>
        <item m="1" x="620"/>
        <item m="1" x="769"/>
        <item m="1" x="681"/>
        <item m="1" x="587"/>
        <item m="1" x="459"/>
        <item m="1" x="555"/>
        <item m="1" x="627"/>
        <item m="1" x="761"/>
        <item m="1" x="632"/>
        <item m="1" x="702"/>
        <item m="1" x="782"/>
        <item m="1" x="482"/>
        <item m="1" x="707"/>
        <item m="1" x="712"/>
        <item m="1" x="665"/>
        <item m="1" x="602"/>
        <item m="1" x="647"/>
        <item m="1" x="441"/>
        <item m="1" x="461"/>
        <item m="1" x="614"/>
        <item m="1" x="570"/>
        <item m="1" x="449"/>
        <item m="1" x="537"/>
        <item m="1" x="416"/>
        <item m="1" x="716"/>
        <item m="1" x="571"/>
        <item m="1" x="528"/>
        <item m="1" x="479"/>
        <item m="1" x="548"/>
        <item m="1" x="553"/>
        <item m="1" x="549"/>
        <item m="1" x="600"/>
        <item m="1" x="534"/>
        <item m="1" x="424"/>
        <item m="1" x="729"/>
        <item m="1" x="609"/>
        <item m="1" x="621"/>
        <item m="1" x="490"/>
        <item m="1" x="639"/>
        <item m="1" x="522"/>
        <item m="1" x="447"/>
        <item m="1" x="715"/>
        <item m="1" x="469"/>
        <item m="1" x="650"/>
        <item m="1" x="525"/>
        <item m="1" x="630"/>
        <item m="1" x="543"/>
        <item m="1" x="652"/>
        <item m="1" x="599"/>
        <item m="1" x="758"/>
        <item m="1" x="563"/>
        <item m="1" x="744"/>
        <item m="1" x="613"/>
        <item m="1" x="399"/>
        <item m="1" x="683"/>
        <item m="1" x="446"/>
        <item m="1" x="488"/>
        <item m="1" x="532"/>
        <item m="1" x="573"/>
        <item m="1" x="560"/>
        <item m="1" x="671"/>
        <item m="1" x="564"/>
        <item m="1" x="697"/>
        <item m="1" x="515"/>
        <item m="1" x="638"/>
        <item m="1" x="579"/>
        <item m="1" x="626"/>
        <item m="1" x="457"/>
        <item m="1" x="456"/>
        <item m="1" x="393"/>
        <item m="1" x="739"/>
        <item m="1" x="419"/>
        <item m="1" x="607"/>
        <item m="1" x="774"/>
        <item m="1" x="685"/>
        <item m="1" x="503"/>
        <item m="1" x="414"/>
        <item m="1" x="673"/>
        <item m="1" x="755"/>
        <item m="1" x="740"/>
        <item m="1" x="572"/>
        <item m="1" x="616"/>
        <item m="1" x="586"/>
        <item m="1" x="737"/>
        <item m="1" x="669"/>
        <item m="1" x="757"/>
        <item m="1" x="473"/>
        <item m="1" x="491"/>
        <item m="1" x="720"/>
        <item m="1" x="722"/>
        <item m="1" x="412"/>
        <item m="1" x="530"/>
        <item m="1" x="542"/>
        <item m="1" x="724"/>
        <item m="1" x="476"/>
        <item m="1" x="766"/>
        <item m="1" x="580"/>
        <item m="1" x="629"/>
        <item m="1" x="500"/>
        <item m="1" x="518"/>
        <item m="1" x="426"/>
        <item m="1" x="445"/>
        <item m="1" x="583"/>
        <item m="1" x="686"/>
        <item m="1" x="624"/>
        <item m="1" x="667"/>
        <item m="1" x="395"/>
        <item m="1" x="489"/>
        <item m="1" x="645"/>
        <item m="1" x="410"/>
        <item m="1" x="727"/>
        <item m="1" x="521"/>
        <item m="1" x="509"/>
        <item m="1" x="742"/>
        <item m="1" x="545"/>
        <item m="1" x="460"/>
        <item m="1" x="659"/>
        <item m="1" x="623"/>
        <item m="1" x="471"/>
        <item m="1" x="496"/>
        <item m="1" x="421"/>
        <item m="1" x="734"/>
        <item m="1" x="588"/>
        <item m="1" x="437"/>
        <item m="1" x="604"/>
        <item m="1" x="745"/>
        <item m="1" x="475"/>
        <item m="1" x="507"/>
        <item m="1" x="531"/>
        <item m="1" x="427"/>
        <item m="1" x="546"/>
        <item m="1" x="779"/>
        <item m="1" x="701"/>
        <item m="1" x="642"/>
        <item m="1" x="439"/>
        <item m="1" x="547"/>
        <item m="1" x="402"/>
        <item m="1" x="705"/>
        <item m="1" x="693"/>
        <item m="1" x="444"/>
        <item m="1" x="578"/>
        <item m="1" x="398"/>
        <item m="1" x="682"/>
        <item m="1" x="513"/>
        <item m="1" x="713"/>
        <item m="1" x="462"/>
        <item m="1" x="590"/>
        <item m="1" x="651"/>
        <item m="1" x="748"/>
        <item m="1" x="764"/>
        <item m="1" x="435"/>
        <item m="1" x="455"/>
        <item m="1" x="422"/>
        <item m="1" x="592"/>
        <item m="1" x="520"/>
        <item m="1" x="535"/>
        <item m="1" x="631"/>
        <item m="1" x="615"/>
        <item m="1" x="591"/>
        <item m="1" x="463"/>
        <item m="1" x="646"/>
        <item m="1" x="485"/>
        <item m="1" x="512"/>
        <item m="1" x="778"/>
        <item m="1" x="516"/>
        <item m="1" x="405"/>
        <item m="1" x="725"/>
        <item m="1" x="413"/>
        <item m="1" x="506"/>
        <item m="1" x="772"/>
        <item m="1" x="483"/>
        <item m="1" x="403"/>
        <item m="1" x="700"/>
        <item m="1" x="407"/>
        <item m="1" x="581"/>
        <item m="1" x="529"/>
        <item m="1" x="726"/>
        <item m="1" x="550"/>
        <item m="1" x="670"/>
        <item m="1" x="436"/>
        <item m="1" x="694"/>
        <item m="1" x="524"/>
        <item m="1" x="452"/>
        <item m="1" x="576"/>
        <item m="1" x="556"/>
        <item m="1" x="601"/>
        <item m="1" x="567"/>
        <item m="1" x="699"/>
        <item m="1" x="467"/>
        <item m="1" x="666"/>
        <item m="1" x="691"/>
        <item m="1" x="706"/>
        <item m="1" x="653"/>
        <item m="1" x="443"/>
        <item m="1" x="770"/>
        <item m="1" x="582"/>
        <item m="1" x="612"/>
        <item m="1" x="731"/>
        <item m="1" x="635"/>
        <item m="1" x="608"/>
        <item m="1" x="425"/>
        <item m="1" x="640"/>
        <item m="1" x="594"/>
        <item m="1" x="728"/>
        <item m="1" x="448"/>
        <item m="1" x="541"/>
        <item m="1" x="493"/>
        <item m="1" x="719"/>
        <item m="1" x="708"/>
        <item m="1" x="536"/>
        <item m="1" x="704"/>
        <item m="1" x="396"/>
        <item m="1" x="478"/>
        <item m="1" x="703"/>
        <item m="1" x="492"/>
        <item m="1" x="397"/>
        <item m="1" x="584"/>
        <item m="1" x="773"/>
        <item m="1" x="746"/>
        <item m="1" x="474"/>
        <item m="1" x="401"/>
        <item m="1" x="431"/>
        <item m="1" x="784"/>
        <item m="1" x="409"/>
        <item m="1" x="585"/>
        <item m="1" x="730"/>
        <item m="1" x="714"/>
        <item m="1" x="544"/>
        <item m="1" x="689"/>
        <item m="1" x="695"/>
        <item m="1" x="752"/>
        <item m="1" x="466"/>
        <item m="1" x="684"/>
        <item m="1" x="768"/>
        <item m="1" x="568"/>
        <item m="1" x="480"/>
        <item m="1" x="692"/>
        <item m="1" x="606"/>
        <item m="1" x="756"/>
        <item m="1" x="432"/>
        <item m="1" x="717"/>
        <item m="1" x="641"/>
        <item m="1" x="648"/>
        <item m="1" x="569"/>
        <item m="1" x="477"/>
        <item m="1" x="486"/>
        <item m="1" x="411"/>
        <item m="1" x="767"/>
        <item m="1" x="511"/>
        <item m="1" x="660"/>
        <item m="1" x="656"/>
        <item m="1" x="628"/>
        <item m="1" x="510"/>
        <item m="1" x="514"/>
        <item m="1" x="763"/>
        <item m="1" x="465"/>
        <item m="1" x="754"/>
        <item m="1" x="450"/>
        <item m="1" x="760"/>
        <item m="1" x="519"/>
        <item m="1" x="557"/>
        <item m="1" x="698"/>
        <item m="1" x="538"/>
        <item m="1" x="423"/>
        <item m="1" x="523"/>
        <item m="1" x="470"/>
        <item m="1" x="533"/>
        <item m="1" x="406"/>
        <item m="1" x="777"/>
        <item m="1" x="661"/>
        <item m="1" x="505"/>
        <item m="1" x="749"/>
        <item m="1" x="610"/>
        <item m="1" x="672"/>
        <item m="1" x="565"/>
        <item m="1" x="487"/>
        <item m="1" x="751"/>
        <item m="1" x="574"/>
        <item m="1" x="539"/>
        <item m="1" x="733"/>
        <item m="1" x="400"/>
        <item m="1" x="690"/>
        <item m="1" x="430"/>
        <item m="1" x="417"/>
        <item m="1" x="484"/>
        <item m="1" x="677"/>
        <item m="1" x="501"/>
        <item m="1" x="517"/>
        <item m="1" x="562"/>
        <item m="1" x="498"/>
        <item m="1" x="404"/>
        <item m="1" x="687"/>
        <item m="1" x="497"/>
        <item m="1" x="566"/>
        <item m="1" x="589"/>
        <item m="1" x="428"/>
        <item m="1" x="674"/>
        <item m="1" x="649"/>
        <item m="1" x="458"/>
        <item m="1" x="433"/>
        <item m="1" x="472"/>
        <item m="1" x="561"/>
        <item m="1" x="454"/>
        <item m="1" x="593"/>
        <item m="1" x="654"/>
        <item m="1" x="718"/>
        <item m="1" x="655"/>
        <item m="1" x="494"/>
        <item m="1" x="680"/>
        <item m="1" x="771"/>
        <item m="1" x="527"/>
        <item m="1" x="634"/>
        <item m="1" x="508"/>
        <item m="1" x="415"/>
        <item m="1" x="597"/>
        <item m="1" x="709"/>
        <item x="295"/>
        <item x="75"/>
        <item x="250"/>
        <item x="1"/>
        <item x="41"/>
        <item x="317"/>
        <item x="158"/>
        <item x="345"/>
        <item x="387"/>
        <item x="285"/>
        <item x="243"/>
        <item x="212"/>
        <item x="71"/>
        <item x="47"/>
        <item x="330"/>
        <item x="224"/>
        <item x="49"/>
        <item x="106"/>
        <item x="275"/>
        <item x="205"/>
        <item x="286"/>
        <item x="372"/>
        <item x="269"/>
        <item x="15"/>
        <item x="348"/>
        <item x="45"/>
        <item x="184"/>
        <item x="166"/>
        <item x="226"/>
        <item x="161"/>
        <item x="388"/>
        <item x="111"/>
        <item x="60"/>
        <item x="133"/>
        <item x="318"/>
        <item x="350"/>
        <item x="343"/>
        <item x="25"/>
        <item x="328"/>
        <item x="282"/>
        <item x="283"/>
        <item x="232"/>
        <item x="225"/>
        <item x="392"/>
        <item x="251"/>
        <item x="354"/>
        <item x="369"/>
        <item x="390"/>
        <item x="203"/>
        <item x="88"/>
        <item x="182"/>
        <item x="159"/>
        <item x="202"/>
        <item x="229"/>
        <item x="36"/>
        <item x="210"/>
        <item x="244"/>
        <item x="357"/>
        <item x="27"/>
        <item x="339"/>
        <item x="303"/>
        <item x="109"/>
        <item x="383"/>
        <item x="165"/>
        <item x="147"/>
        <item x="360"/>
        <item x="265"/>
        <item x="382"/>
        <item x="240"/>
        <item x="58"/>
        <item x="264"/>
        <item x="218"/>
        <item x="102"/>
        <item x="271"/>
        <item x="270"/>
        <item x="342"/>
        <item x="366"/>
        <item x="227"/>
        <item x="376"/>
        <item x="288"/>
        <item x="194"/>
        <item x="66"/>
        <item x="162"/>
        <item x="234"/>
        <item x="368"/>
        <item x="239"/>
        <item x="309"/>
        <item x="389"/>
        <item x="89"/>
        <item x="314"/>
        <item x="319"/>
        <item x="272"/>
        <item x="209"/>
        <item x="254"/>
        <item x="48"/>
        <item x="68"/>
        <item x="221"/>
        <item x="177"/>
        <item x="56"/>
        <item x="144"/>
        <item x="23"/>
        <item x="323"/>
        <item x="178"/>
        <item x="135"/>
        <item x="86"/>
        <item x="155"/>
        <item x="160"/>
        <item x="156"/>
        <item x="207"/>
        <item x="141"/>
        <item x="31"/>
        <item x="336"/>
        <item x="216"/>
        <item x="228"/>
        <item x="97"/>
        <item x="246"/>
        <item x="129"/>
        <item x="54"/>
        <item x="322"/>
        <item x="76"/>
        <item x="257"/>
        <item x="132"/>
        <item x="237"/>
        <item x="150"/>
        <item x="259"/>
        <item x="206"/>
        <item x="365"/>
        <item x="170"/>
        <item x="351"/>
        <item x="220"/>
        <item x="6"/>
        <item x="290"/>
        <item x="53"/>
        <item x="95"/>
        <item x="139"/>
        <item x="180"/>
        <item x="167"/>
        <item x="278"/>
        <item x="171"/>
        <item x="304"/>
        <item x="122"/>
        <item x="245"/>
        <item x="186"/>
        <item x="233"/>
        <item x="64"/>
        <item x="63"/>
        <item x="0"/>
        <item x="346"/>
        <item x="26"/>
        <item x="214"/>
        <item x="381"/>
        <item x="292"/>
        <item x="110"/>
        <item x="21"/>
        <item x="280"/>
        <item x="362"/>
        <item x="347"/>
        <item x="179"/>
        <item x="223"/>
        <item x="193"/>
        <item x="344"/>
        <item x="276"/>
        <item x="364"/>
        <item x="80"/>
        <item x="98"/>
        <item x="327"/>
        <item x="329"/>
        <item x="19"/>
        <item x="137"/>
        <item x="149"/>
        <item x="331"/>
        <item x="83"/>
        <item x="373"/>
        <item x="187"/>
        <item x="236"/>
        <item x="107"/>
        <item x="125"/>
        <item x="33"/>
        <item x="52"/>
        <item x="190"/>
        <item x="293"/>
        <item x="231"/>
        <item x="274"/>
        <item x="2"/>
        <item x="96"/>
        <item x="252"/>
        <item x="17"/>
        <item x="334"/>
        <item x="128"/>
        <item x="116"/>
        <item x="349"/>
        <item x="152"/>
        <item x="67"/>
        <item x="266"/>
        <item x="230"/>
        <item x="78"/>
        <item x="103"/>
        <item x="28"/>
        <item x="341"/>
        <item x="195"/>
        <item x="44"/>
        <item x="211"/>
        <item x="352"/>
        <item x="82"/>
        <item x="114"/>
        <item x="138"/>
        <item x="34"/>
        <item x="153"/>
        <item x="386"/>
        <item x="308"/>
        <item x="249"/>
        <item x="46"/>
        <item x="154"/>
        <item x="9"/>
        <item x="312"/>
        <item x="300"/>
        <item x="51"/>
        <item x="185"/>
        <item x="5"/>
        <item x="289"/>
        <item x="120"/>
        <item x="320"/>
        <item x="69"/>
        <item x="197"/>
        <item x="258"/>
        <item x="355"/>
        <item x="371"/>
        <item x="42"/>
        <item x="62"/>
        <item x="29"/>
        <item x="199"/>
        <item x="127"/>
        <item x="142"/>
        <item x="238"/>
        <item x="222"/>
        <item x="198"/>
        <item x="70"/>
        <item x="253"/>
        <item x="92"/>
        <item x="119"/>
        <item x="385"/>
        <item x="123"/>
        <item x="12"/>
        <item x="332"/>
        <item x="20"/>
        <item x="113"/>
        <item x="379"/>
        <item x="90"/>
        <item x="10"/>
        <item x="307"/>
        <item x="14"/>
        <item x="188"/>
        <item x="136"/>
        <item x="333"/>
        <item x="157"/>
        <item x="277"/>
        <item x="43"/>
        <item x="301"/>
        <item x="131"/>
        <item x="59"/>
        <item x="183"/>
        <item x="163"/>
        <item x="208"/>
        <item x="174"/>
        <item x="306"/>
        <item x="74"/>
        <item x="273"/>
        <item x="298"/>
        <item x="313"/>
        <item x="260"/>
        <item x="50"/>
        <item x="377"/>
        <item x="189"/>
        <item x="219"/>
        <item x="338"/>
        <item x="242"/>
        <item x="215"/>
        <item x="32"/>
        <item x="247"/>
        <item x="201"/>
        <item x="335"/>
        <item x="55"/>
        <item x="148"/>
        <item x="100"/>
        <item x="326"/>
        <item x="315"/>
        <item x="143"/>
        <item x="311"/>
        <item x="3"/>
        <item x="85"/>
        <item x="310"/>
        <item x="99"/>
        <item x="4"/>
        <item x="191"/>
        <item x="380"/>
        <item x="353"/>
        <item x="81"/>
        <item x="8"/>
        <item x="38"/>
        <item x="391"/>
        <item x="16"/>
        <item x="192"/>
        <item x="337"/>
        <item x="321"/>
        <item x="151"/>
        <item x="296"/>
        <item x="302"/>
        <item x="359"/>
        <item x="73"/>
        <item x="291"/>
        <item x="375"/>
        <item x="175"/>
        <item x="87"/>
        <item x="299"/>
        <item x="213"/>
        <item x="363"/>
        <item x="39"/>
        <item x="324"/>
        <item x="248"/>
        <item x="255"/>
        <item x="176"/>
        <item x="84"/>
        <item x="93"/>
        <item x="18"/>
        <item x="374"/>
        <item x="118"/>
        <item x="267"/>
        <item x="263"/>
        <item x="235"/>
        <item x="117"/>
        <item x="121"/>
        <item x="370"/>
        <item x="72"/>
        <item x="361"/>
        <item x="57"/>
        <item x="367"/>
        <item x="126"/>
        <item x="164"/>
        <item x="305"/>
        <item x="145"/>
        <item x="30"/>
        <item x="130"/>
        <item x="77"/>
        <item x="140"/>
        <item x="13"/>
        <item x="384"/>
        <item x="268"/>
        <item x="112"/>
        <item x="356"/>
        <item x="217"/>
        <item x="279"/>
        <item x="172"/>
        <item x="94"/>
        <item x="358"/>
        <item x="181"/>
        <item x="146"/>
        <item x="340"/>
        <item x="7"/>
        <item x="297"/>
        <item x="37"/>
        <item x="24"/>
        <item x="91"/>
        <item x="284"/>
        <item x="108"/>
        <item x="124"/>
        <item x="169"/>
        <item x="105"/>
        <item x="11"/>
        <item x="294"/>
        <item x="104"/>
        <item x="173"/>
        <item x="196"/>
        <item x="35"/>
        <item x="281"/>
        <item x="256"/>
        <item x="65"/>
        <item x="40"/>
        <item x="79"/>
        <item x="168"/>
        <item x="61"/>
        <item x="200"/>
        <item x="261"/>
        <item x="325"/>
        <item x="262"/>
        <item x="101"/>
        <item x="287"/>
        <item x="378"/>
        <item x="134"/>
        <item x="241"/>
        <item x="115"/>
        <item x="22"/>
        <item x="204"/>
        <item x="316"/>
        <item t="default"/>
      </items>
    </pivotField>
    <pivotField showAll="0"/>
    <pivotField showAll="0"/>
    <pivotField showAll="0"/>
    <pivotField axis="axisRow" showAll="0">
      <items count="4">
        <item x="0"/>
        <item x="1"/>
        <item x="2"/>
        <item t="default"/>
      </items>
    </pivotField>
  </pivotFields>
  <rowFields count="1">
    <field x="16"/>
  </rowFields>
  <rowItems count="4">
    <i>
      <x/>
    </i>
    <i>
      <x v="1"/>
    </i>
    <i>
      <x v="2"/>
    </i>
    <i t="grand">
      <x/>
    </i>
  </rowItems>
  <colItems count="1">
    <i/>
  </colItems>
  <dataFields count="1">
    <dataField name="Count of LoanID" fld="0" subtotal="count" baseField="0" baseItem="0"/>
  </dataFields>
  <formats count="12">
    <format dxfId="62">
      <pivotArea type="all" dataOnly="0" outline="0" fieldPosition="0"/>
    </format>
    <format dxfId="61">
      <pivotArea outline="0" collapsedLevelsAreSubtotals="1" fieldPosition="0"/>
    </format>
    <format dxfId="60">
      <pivotArea field="16" type="button" dataOnly="0" labelOnly="1" outline="0" axis="axisRow" fieldPosition="0"/>
    </format>
    <format dxfId="59">
      <pivotArea dataOnly="0" labelOnly="1" fieldPosition="0">
        <references count="1">
          <reference field="16" count="0"/>
        </references>
      </pivotArea>
    </format>
    <format dxfId="58">
      <pivotArea dataOnly="0" labelOnly="1" grandRow="1" outline="0"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field="16" type="button" dataOnly="0" labelOnly="1" outline="0" axis="axisRow" fieldPosition="0"/>
    </format>
    <format dxfId="53">
      <pivotArea dataOnly="0" labelOnly="1" fieldPosition="0">
        <references count="1">
          <reference field="16" count="0"/>
        </references>
      </pivotArea>
    </format>
    <format dxfId="52">
      <pivotArea dataOnly="0" labelOnly="1" grandRow="1" outline="0" fieldPosition="0"/>
    </format>
    <format dxfId="51">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C440B8-89C5-420C-8D4E-678B1DAE6B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7">
    <pivotField showAll="0"/>
    <pivotField showAll="0"/>
    <pivotField showAll="0"/>
    <pivotField showAll="0"/>
    <pivotField dataField="1" showAll="0"/>
    <pivotField showAll="0"/>
    <pivotField showAll="0"/>
    <pivotField showAll="0"/>
    <pivotField axis="axisRow" showAll="0">
      <items count="5">
        <item x="1"/>
        <item x="0"/>
        <item x="2"/>
        <item x="3"/>
        <item t="default"/>
      </items>
    </pivotField>
    <pivotField showAll="0"/>
    <pivotField showAll="0"/>
    <pivotField showAll="0"/>
    <pivotField showAll="0">
      <items count="787">
        <item m="1" x="688"/>
        <item m="1" x="468"/>
        <item m="1" x="643"/>
        <item m="1" x="394"/>
        <item m="1" x="434"/>
        <item m="1" x="710"/>
        <item m="1" x="551"/>
        <item m="1" x="738"/>
        <item m="1" x="780"/>
        <item m="1" x="678"/>
        <item m="1" x="636"/>
        <item m="1" x="605"/>
        <item m="1" x="464"/>
        <item m="1" x="440"/>
        <item m="1" x="723"/>
        <item m="1" x="617"/>
        <item m="1" x="442"/>
        <item m="1" x="499"/>
        <item m="1" x="668"/>
        <item m="1" x="598"/>
        <item m="1" x="679"/>
        <item m="1" x="765"/>
        <item m="1" x="662"/>
        <item m="1" x="408"/>
        <item m="1" x="741"/>
        <item m="1" x="438"/>
        <item m="1" x="577"/>
        <item m="1" x="559"/>
        <item m="1" x="619"/>
        <item m="1" x="554"/>
        <item m="1" x="781"/>
        <item m="1" x="504"/>
        <item m="1" x="453"/>
        <item m="1" x="526"/>
        <item m="1" x="711"/>
        <item m="1" x="743"/>
        <item m="1" x="736"/>
        <item m="1" x="418"/>
        <item m="1" x="721"/>
        <item m="1" x="675"/>
        <item m="1" x="676"/>
        <item m="1" x="625"/>
        <item m="1" x="618"/>
        <item m="1" x="785"/>
        <item m="1" x="644"/>
        <item m="1" x="747"/>
        <item m="1" x="762"/>
        <item m="1" x="783"/>
        <item m="1" x="596"/>
        <item m="1" x="481"/>
        <item m="1" x="575"/>
        <item m="1" x="552"/>
        <item m="1" x="595"/>
        <item m="1" x="622"/>
        <item m="1" x="429"/>
        <item m="1" x="603"/>
        <item m="1" x="637"/>
        <item m="1" x="750"/>
        <item m="1" x="420"/>
        <item m="1" x="732"/>
        <item m="1" x="696"/>
        <item m="1" x="502"/>
        <item m="1" x="776"/>
        <item m="1" x="558"/>
        <item m="1" x="540"/>
        <item m="1" x="753"/>
        <item m="1" x="658"/>
        <item m="1" x="775"/>
        <item m="1" x="633"/>
        <item m="1" x="451"/>
        <item m="1" x="657"/>
        <item m="1" x="611"/>
        <item m="1" x="495"/>
        <item m="1" x="664"/>
        <item m="1" x="663"/>
        <item m="1" x="735"/>
        <item m="1" x="759"/>
        <item m="1" x="620"/>
        <item m="1" x="769"/>
        <item m="1" x="681"/>
        <item m="1" x="587"/>
        <item m="1" x="459"/>
        <item m="1" x="555"/>
        <item m="1" x="627"/>
        <item m="1" x="761"/>
        <item m="1" x="632"/>
        <item m="1" x="702"/>
        <item m="1" x="782"/>
        <item m="1" x="482"/>
        <item m="1" x="707"/>
        <item m="1" x="712"/>
        <item m="1" x="665"/>
        <item m="1" x="602"/>
        <item m="1" x="647"/>
        <item m="1" x="441"/>
        <item m="1" x="461"/>
        <item m="1" x="614"/>
        <item m="1" x="570"/>
        <item m="1" x="449"/>
        <item m="1" x="537"/>
        <item m="1" x="416"/>
        <item m="1" x="716"/>
        <item m="1" x="571"/>
        <item m="1" x="528"/>
        <item m="1" x="479"/>
        <item m="1" x="548"/>
        <item m="1" x="553"/>
        <item m="1" x="549"/>
        <item m="1" x="600"/>
        <item m="1" x="534"/>
        <item m="1" x="424"/>
        <item m="1" x="729"/>
        <item m="1" x="609"/>
        <item m="1" x="621"/>
        <item m="1" x="490"/>
        <item m="1" x="639"/>
        <item m="1" x="522"/>
        <item m="1" x="447"/>
        <item m="1" x="715"/>
        <item m="1" x="469"/>
        <item m="1" x="650"/>
        <item m="1" x="525"/>
        <item m="1" x="630"/>
        <item m="1" x="543"/>
        <item m="1" x="652"/>
        <item m="1" x="599"/>
        <item m="1" x="758"/>
        <item m="1" x="563"/>
        <item m="1" x="744"/>
        <item m="1" x="613"/>
        <item m="1" x="399"/>
        <item m="1" x="683"/>
        <item m="1" x="446"/>
        <item m="1" x="488"/>
        <item m="1" x="532"/>
        <item m="1" x="573"/>
        <item m="1" x="560"/>
        <item m="1" x="671"/>
        <item m="1" x="564"/>
        <item m="1" x="697"/>
        <item m="1" x="515"/>
        <item m="1" x="638"/>
        <item m="1" x="579"/>
        <item m="1" x="626"/>
        <item m="1" x="457"/>
        <item m="1" x="456"/>
        <item m="1" x="393"/>
        <item m="1" x="739"/>
        <item m="1" x="419"/>
        <item m="1" x="607"/>
        <item m="1" x="774"/>
        <item m="1" x="685"/>
        <item m="1" x="503"/>
        <item m="1" x="414"/>
        <item m="1" x="673"/>
        <item m="1" x="755"/>
        <item m="1" x="740"/>
        <item m="1" x="572"/>
        <item m="1" x="616"/>
        <item m="1" x="586"/>
        <item m="1" x="737"/>
        <item m="1" x="669"/>
        <item m="1" x="757"/>
        <item m="1" x="473"/>
        <item m="1" x="491"/>
        <item m="1" x="720"/>
        <item m="1" x="722"/>
        <item m="1" x="412"/>
        <item m="1" x="530"/>
        <item m="1" x="542"/>
        <item m="1" x="724"/>
        <item m="1" x="476"/>
        <item m="1" x="766"/>
        <item m="1" x="580"/>
        <item m="1" x="629"/>
        <item m="1" x="500"/>
        <item m="1" x="518"/>
        <item m="1" x="426"/>
        <item m="1" x="445"/>
        <item m="1" x="583"/>
        <item m="1" x="686"/>
        <item m="1" x="624"/>
        <item m="1" x="667"/>
        <item m="1" x="395"/>
        <item m="1" x="489"/>
        <item m="1" x="645"/>
        <item m="1" x="410"/>
        <item m="1" x="727"/>
        <item m="1" x="521"/>
        <item m="1" x="509"/>
        <item m="1" x="742"/>
        <item m="1" x="545"/>
        <item m="1" x="460"/>
        <item m="1" x="659"/>
        <item m="1" x="623"/>
        <item m="1" x="471"/>
        <item m="1" x="496"/>
        <item m="1" x="421"/>
        <item m="1" x="734"/>
        <item m="1" x="588"/>
        <item m="1" x="437"/>
        <item m="1" x="604"/>
        <item m="1" x="745"/>
        <item m="1" x="475"/>
        <item m="1" x="507"/>
        <item m="1" x="531"/>
        <item m="1" x="427"/>
        <item m="1" x="546"/>
        <item m="1" x="779"/>
        <item m="1" x="701"/>
        <item m="1" x="642"/>
        <item m="1" x="439"/>
        <item m="1" x="547"/>
        <item m="1" x="402"/>
        <item m="1" x="705"/>
        <item m="1" x="693"/>
        <item m="1" x="444"/>
        <item m="1" x="578"/>
        <item m="1" x="398"/>
        <item m="1" x="682"/>
        <item m="1" x="513"/>
        <item m="1" x="713"/>
        <item m="1" x="462"/>
        <item m="1" x="590"/>
        <item m="1" x="651"/>
        <item m="1" x="748"/>
        <item m="1" x="764"/>
        <item m="1" x="435"/>
        <item m="1" x="455"/>
        <item m="1" x="422"/>
        <item m="1" x="592"/>
        <item m="1" x="520"/>
        <item m="1" x="535"/>
        <item m="1" x="631"/>
        <item m="1" x="615"/>
        <item m="1" x="591"/>
        <item m="1" x="463"/>
        <item m="1" x="646"/>
        <item m="1" x="485"/>
        <item m="1" x="512"/>
        <item m="1" x="778"/>
        <item m="1" x="516"/>
        <item m="1" x="405"/>
        <item m="1" x="725"/>
        <item m="1" x="413"/>
        <item m="1" x="506"/>
        <item m="1" x="772"/>
        <item m="1" x="483"/>
        <item m="1" x="403"/>
        <item m="1" x="700"/>
        <item m="1" x="407"/>
        <item m="1" x="581"/>
        <item m="1" x="529"/>
        <item m="1" x="726"/>
        <item m="1" x="550"/>
        <item m="1" x="670"/>
        <item m="1" x="436"/>
        <item m="1" x="694"/>
        <item m="1" x="524"/>
        <item m="1" x="452"/>
        <item m="1" x="576"/>
        <item m="1" x="556"/>
        <item m="1" x="601"/>
        <item m="1" x="567"/>
        <item m="1" x="699"/>
        <item m="1" x="467"/>
        <item m="1" x="666"/>
        <item m="1" x="691"/>
        <item m="1" x="706"/>
        <item m="1" x="653"/>
        <item m="1" x="443"/>
        <item m="1" x="770"/>
        <item m="1" x="582"/>
        <item m="1" x="612"/>
        <item m="1" x="731"/>
        <item m="1" x="635"/>
        <item m="1" x="608"/>
        <item m="1" x="425"/>
        <item m="1" x="640"/>
        <item m="1" x="594"/>
        <item m="1" x="728"/>
        <item m="1" x="448"/>
        <item m="1" x="541"/>
        <item m="1" x="493"/>
        <item m="1" x="719"/>
        <item m="1" x="708"/>
        <item m="1" x="536"/>
        <item m="1" x="704"/>
        <item m="1" x="396"/>
        <item m="1" x="478"/>
        <item m="1" x="703"/>
        <item m="1" x="492"/>
        <item m="1" x="397"/>
        <item m="1" x="584"/>
        <item m="1" x="773"/>
        <item m="1" x="746"/>
        <item m="1" x="474"/>
        <item m="1" x="401"/>
        <item m="1" x="431"/>
        <item m="1" x="784"/>
        <item m="1" x="409"/>
        <item m="1" x="585"/>
        <item m="1" x="730"/>
        <item m="1" x="714"/>
        <item m="1" x="544"/>
        <item m="1" x="689"/>
        <item m="1" x="695"/>
        <item m="1" x="752"/>
        <item m="1" x="466"/>
        <item m="1" x="684"/>
        <item m="1" x="768"/>
        <item m="1" x="568"/>
        <item m="1" x="480"/>
        <item m="1" x="692"/>
        <item m="1" x="606"/>
        <item m="1" x="756"/>
        <item m="1" x="432"/>
        <item m="1" x="717"/>
        <item m="1" x="641"/>
        <item m="1" x="648"/>
        <item m="1" x="569"/>
        <item m="1" x="477"/>
        <item m="1" x="486"/>
        <item m="1" x="411"/>
        <item m="1" x="767"/>
        <item m="1" x="511"/>
        <item m="1" x="660"/>
        <item m="1" x="656"/>
        <item m="1" x="628"/>
        <item m="1" x="510"/>
        <item m="1" x="514"/>
        <item m="1" x="763"/>
        <item m="1" x="465"/>
        <item m="1" x="754"/>
        <item m="1" x="450"/>
        <item m="1" x="760"/>
        <item m="1" x="519"/>
        <item m="1" x="557"/>
        <item m="1" x="698"/>
        <item m="1" x="538"/>
        <item m="1" x="423"/>
        <item m="1" x="523"/>
        <item m="1" x="470"/>
        <item m="1" x="533"/>
        <item m="1" x="406"/>
        <item m="1" x="777"/>
        <item m="1" x="661"/>
        <item m="1" x="505"/>
        <item m="1" x="749"/>
        <item m="1" x="610"/>
        <item m="1" x="672"/>
        <item m="1" x="565"/>
        <item m="1" x="487"/>
        <item m="1" x="751"/>
        <item m="1" x="574"/>
        <item m="1" x="539"/>
        <item m="1" x="733"/>
        <item m="1" x="400"/>
        <item m="1" x="690"/>
        <item m="1" x="430"/>
        <item m="1" x="417"/>
        <item m="1" x="484"/>
        <item m="1" x="677"/>
        <item m="1" x="501"/>
        <item m="1" x="517"/>
        <item m="1" x="562"/>
        <item m="1" x="498"/>
        <item m="1" x="404"/>
        <item m="1" x="687"/>
        <item m="1" x="497"/>
        <item m="1" x="566"/>
        <item m="1" x="589"/>
        <item m="1" x="428"/>
        <item m="1" x="674"/>
        <item m="1" x="649"/>
        <item m="1" x="458"/>
        <item m="1" x="433"/>
        <item m="1" x="472"/>
        <item m="1" x="561"/>
        <item m="1" x="454"/>
        <item m="1" x="593"/>
        <item m="1" x="654"/>
        <item m="1" x="718"/>
        <item m="1" x="655"/>
        <item m="1" x="494"/>
        <item m="1" x="680"/>
        <item m="1" x="771"/>
        <item m="1" x="527"/>
        <item m="1" x="634"/>
        <item m="1" x="508"/>
        <item m="1" x="415"/>
        <item m="1" x="597"/>
        <item m="1" x="709"/>
        <item x="295"/>
        <item x="75"/>
        <item x="250"/>
        <item x="1"/>
        <item x="41"/>
        <item x="317"/>
        <item x="158"/>
        <item x="345"/>
        <item x="387"/>
        <item x="285"/>
        <item x="243"/>
        <item x="212"/>
        <item x="71"/>
        <item x="47"/>
        <item x="330"/>
        <item x="224"/>
        <item x="49"/>
        <item x="106"/>
        <item x="275"/>
        <item x="205"/>
        <item x="286"/>
        <item x="372"/>
        <item x="269"/>
        <item x="15"/>
        <item x="348"/>
        <item x="45"/>
        <item x="184"/>
        <item x="166"/>
        <item x="226"/>
        <item x="161"/>
        <item x="388"/>
        <item x="111"/>
        <item x="60"/>
        <item x="133"/>
        <item x="318"/>
        <item x="350"/>
        <item x="343"/>
        <item x="25"/>
        <item x="328"/>
        <item x="282"/>
        <item x="283"/>
        <item x="232"/>
        <item x="225"/>
        <item x="392"/>
        <item x="251"/>
        <item x="354"/>
        <item x="369"/>
        <item x="390"/>
        <item x="203"/>
        <item x="88"/>
        <item x="182"/>
        <item x="159"/>
        <item x="202"/>
        <item x="229"/>
        <item x="36"/>
        <item x="210"/>
        <item x="244"/>
        <item x="357"/>
        <item x="27"/>
        <item x="339"/>
        <item x="303"/>
        <item x="109"/>
        <item x="383"/>
        <item x="165"/>
        <item x="147"/>
        <item x="360"/>
        <item x="265"/>
        <item x="382"/>
        <item x="240"/>
        <item x="58"/>
        <item x="264"/>
        <item x="218"/>
        <item x="102"/>
        <item x="271"/>
        <item x="270"/>
        <item x="342"/>
        <item x="366"/>
        <item x="227"/>
        <item x="376"/>
        <item x="288"/>
        <item x="194"/>
        <item x="66"/>
        <item x="162"/>
        <item x="234"/>
        <item x="368"/>
        <item x="239"/>
        <item x="309"/>
        <item x="389"/>
        <item x="89"/>
        <item x="314"/>
        <item x="319"/>
        <item x="272"/>
        <item x="209"/>
        <item x="254"/>
        <item x="48"/>
        <item x="68"/>
        <item x="221"/>
        <item x="177"/>
        <item x="56"/>
        <item x="144"/>
        <item x="23"/>
        <item x="323"/>
        <item x="178"/>
        <item x="135"/>
        <item x="86"/>
        <item x="155"/>
        <item x="160"/>
        <item x="156"/>
        <item x="207"/>
        <item x="141"/>
        <item x="31"/>
        <item x="336"/>
        <item x="216"/>
        <item x="228"/>
        <item x="97"/>
        <item x="246"/>
        <item x="129"/>
        <item x="54"/>
        <item x="322"/>
        <item x="76"/>
        <item x="257"/>
        <item x="132"/>
        <item x="237"/>
        <item x="150"/>
        <item x="259"/>
        <item x="206"/>
        <item x="365"/>
        <item x="170"/>
        <item x="351"/>
        <item x="220"/>
        <item x="6"/>
        <item x="290"/>
        <item x="53"/>
        <item x="95"/>
        <item x="139"/>
        <item x="180"/>
        <item x="167"/>
        <item x="278"/>
        <item x="171"/>
        <item x="304"/>
        <item x="122"/>
        <item x="245"/>
        <item x="186"/>
        <item x="233"/>
        <item x="64"/>
        <item x="63"/>
        <item x="0"/>
        <item x="346"/>
        <item x="26"/>
        <item x="214"/>
        <item x="381"/>
        <item x="292"/>
        <item x="110"/>
        <item x="21"/>
        <item x="280"/>
        <item x="362"/>
        <item x="347"/>
        <item x="179"/>
        <item x="223"/>
        <item x="193"/>
        <item x="344"/>
        <item x="276"/>
        <item x="364"/>
        <item x="80"/>
        <item x="98"/>
        <item x="327"/>
        <item x="329"/>
        <item x="19"/>
        <item x="137"/>
        <item x="149"/>
        <item x="331"/>
        <item x="83"/>
        <item x="373"/>
        <item x="187"/>
        <item x="236"/>
        <item x="107"/>
        <item x="125"/>
        <item x="33"/>
        <item x="52"/>
        <item x="190"/>
        <item x="293"/>
        <item x="231"/>
        <item x="274"/>
        <item x="2"/>
        <item x="96"/>
        <item x="252"/>
        <item x="17"/>
        <item x="334"/>
        <item x="128"/>
        <item x="116"/>
        <item x="349"/>
        <item x="152"/>
        <item x="67"/>
        <item x="266"/>
        <item x="230"/>
        <item x="78"/>
        <item x="103"/>
        <item x="28"/>
        <item x="341"/>
        <item x="195"/>
        <item x="44"/>
        <item x="211"/>
        <item x="352"/>
        <item x="82"/>
        <item x="114"/>
        <item x="138"/>
        <item x="34"/>
        <item x="153"/>
        <item x="386"/>
        <item x="308"/>
        <item x="249"/>
        <item x="46"/>
        <item x="154"/>
        <item x="9"/>
        <item x="312"/>
        <item x="300"/>
        <item x="51"/>
        <item x="185"/>
        <item x="5"/>
        <item x="289"/>
        <item x="120"/>
        <item x="320"/>
        <item x="69"/>
        <item x="197"/>
        <item x="258"/>
        <item x="355"/>
        <item x="371"/>
        <item x="42"/>
        <item x="62"/>
        <item x="29"/>
        <item x="199"/>
        <item x="127"/>
        <item x="142"/>
        <item x="238"/>
        <item x="222"/>
        <item x="198"/>
        <item x="70"/>
        <item x="253"/>
        <item x="92"/>
        <item x="119"/>
        <item x="385"/>
        <item x="123"/>
        <item x="12"/>
        <item x="332"/>
        <item x="20"/>
        <item x="113"/>
        <item x="379"/>
        <item x="90"/>
        <item x="10"/>
        <item x="307"/>
        <item x="14"/>
        <item x="188"/>
        <item x="136"/>
        <item x="333"/>
        <item x="157"/>
        <item x="277"/>
        <item x="43"/>
        <item x="301"/>
        <item x="131"/>
        <item x="59"/>
        <item x="183"/>
        <item x="163"/>
        <item x="208"/>
        <item x="174"/>
        <item x="306"/>
        <item x="74"/>
        <item x="273"/>
        <item x="298"/>
        <item x="313"/>
        <item x="260"/>
        <item x="50"/>
        <item x="377"/>
        <item x="189"/>
        <item x="219"/>
        <item x="338"/>
        <item x="242"/>
        <item x="215"/>
        <item x="32"/>
        <item x="247"/>
        <item x="201"/>
        <item x="335"/>
        <item x="55"/>
        <item x="148"/>
        <item x="100"/>
        <item x="326"/>
        <item x="315"/>
        <item x="143"/>
        <item x="311"/>
        <item x="3"/>
        <item x="85"/>
        <item x="310"/>
        <item x="99"/>
        <item x="4"/>
        <item x="191"/>
        <item x="380"/>
        <item x="353"/>
        <item x="81"/>
        <item x="8"/>
        <item x="38"/>
        <item x="391"/>
        <item x="16"/>
        <item x="192"/>
        <item x="337"/>
        <item x="321"/>
        <item x="151"/>
        <item x="296"/>
        <item x="302"/>
        <item x="359"/>
        <item x="73"/>
        <item x="291"/>
        <item x="375"/>
        <item x="175"/>
        <item x="87"/>
        <item x="299"/>
        <item x="213"/>
        <item x="363"/>
        <item x="39"/>
        <item x="324"/>
        <item x="248"/>
        <item x="255"/>
        <item x="176"/>
        <item x="84"/>
        <item x="93"/>
        <item x="18"/>
        <item x="374"/>
        <item x="118"/>
        <item x="267"/>
        <item x="263"/>
        <item x="235"/>
        <item x="117"/>
        <item x="121"/>
        <item x="370"/>
        <item x="72"/>
        <item x="361"/>
        <item x="57"/>
        <item x="367"/>
        <item x="126"/>
        <item x="164"/>
        <item x="305"/>
        <item x="145"/>
        <item x="30"/>
        <item x="130"/>
        <item x="77"/>
        <item x="140"/>
        <item x="13"/>
        <item x="384"/>
        <item x="268"/>
        <item x="112"/>
        <item x="356"/>
        <item x="217"/>
        <item x="279"/>
        <item x="172"/>
        <item x="94"/>
        <item x="358"/>
        <item x="181"/>
        <item x="146"/>
        <item x="340"/>
        <item x="7"/>
        <item x="297"/>
        <item x="37"/>
        <item x="24"/>
        <item x="91"/>
        <item x="284"/>
        <item x="108"/>
        <item x="124"/>
        <item x="169"/>
        <item x="105"/>
        <item x="11"/>
        <item x="294"/>
        <item x="104"/>
        <item x="173"/>
        <item x="196"/>
        <item x="35"/>
        <item x="281"/>
        <item x="256"/>
        <item x="65"/>
        <item x="40"/>
        <item x="79"/>
        <item x="168"/>
        <item x="61"/>
        <item x="200"/>
        <item x="261"/>
        <item x="325"/>
        <item x="262"/>
        <item x="101"/>
        <item x="287"/>
        <item x="378"/>
        <item x="134"/>
        <item x="241"/>
        <item x="115"/>
        <item x="22"/>
        <item x="204"/>
        <item x="316"/>
        <item t="default"/>
      </items>
    </pivotField>
    <pivotField showAll="0"/>
    <pivotField showAll="0"/>
    <pivotField showAll="0"/>
    <pivotField showAll="0"/>
  </pivotFields>
  <rowFields count="1">
    <field x="8"/>
  </rowFields>
  <rowItems count="5">
    <i>
      <x/>
    </i>
    <i>
      <x v="1"/>
    </i>
    <i>
      <x v="2"/>
    </i>
    <i>
      <x v="3"/>
    </i>
    <i t="grand">
      <x/>
    </i>
  </rowItems>
  <colItems count="1">
    <i/>
  </colItems>
  <dataFields count="1">
    <dataField name="Sum of LoanAmount" fld="4" baseField="0" baseItem="0"/>
  </dataFields>
  <formats count="12">
    <format dxfId="74">
      <pivotArea type="all" dataOnly="0" outline="0" fieldPosition="0"/>
    </format>
    <format dxfId="73">
      <pivotArea outline="0" collapsedLevelsAreSubtotals="1" fieldPosition="0"/>
    </format>
    <format dxfId="72">
      <pivotArea field="8" type="button" dataOnly="0" labelOnly="1" outline="0" axis="axisRow" fieldPosition="0"/>
    </format>
    <format dxfId="71">
      <pivotArea dataOnly="0" labelOnly="1" fieldPosition="0">
        <references count="1">
          <reference field="8" count="0"/>
        </references>
      </pivotArea>
    </format>
    <format dxfId="70">
      <pivotArea dataOnly="0" labelOnly="1" grandRow="1" outline="0"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field="8" type="button" dataOnly="0" labelOnly="1" outline="0" axis="axisRow" fieldPosition="0"/>
    </format>
    <format dxfId="65">
      <pivotArea dataOnly="0" labelOnly="1" fieldPosition="0">
        <references count="1">
          <reference field="8" count="0"/>
        </references>
      </pivotArea>
    </format>
    <format dxfId="64">
      <pivotArea dataOnly="0" labelOnly="1" grandRow="1" outline="0" fieldPosition="0"/>
    </format>
    <format dxfId="6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741EB4D-9922-4F39-ABF1-777C5D2713A5}" sourceName="Region">
  <pivotTables>
    <pivotTable tabId="5" name="PivotTable5"/>
  </pivotTables>
  <data>
    <tabular pivotCacheId="1638669414">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Type" xr10:uid="{78CFE3AA-74E0-49DA-B5F0-EB2779E115D6}" sourceName="LoanType">
  <pivotTables>
    <pivotTable tabId="5" name="PivotTable5"/>
  </pivotTables>
  <data>
    <tabular pivotCacheId="1638669414">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9FD53B29-F6F9-4852-9F8D-7E8EB2495682}" sourceName="Status">
  <pivotTables>
    <pivotTable tabId="5" name="PivotTable5"/>
  </pivotTables>
  <data>
    <tabular pivotCacheId="1638669414">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D0F1244B-3A4C-4FD8-94EC-01D2E8F79E69}" sourceName="Risk_Level">
  <pivotTables>
    <pivotTable tabId="5" name="PivotTable5"/>
  </pivotTables>
  <data>
    <tabular pivotCacheId="163866941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DEE7972-52ED-47EB-996D-6342ED624424}" cache="Slicer_Region" caption="Region" style="SlicerStyleLight3" rowHeight="234950"/>
  <slicer name="LoanType" xr10:uid="{1BD5B89F-E7B9-40A9-8E35-FA76AB84F8B0}" cache="Slicer_LoanType" caption="LoanType" style="SlicerStyleLight3" rowHeight="234950"/>
  <slicer name="Status" xr10:uid="{9FF2545D-CBB5-41AC-9A88-E7A13978B923}" cache="Slicer_Status" caption="Status" style="SlicerStyleLight3" rowHeight="234950"/>
  <slicer name="Risk_Level" xr10:uid="{42C3F2F8-57C9-447F-9CA4-6AF09AD9F980}" cache="Slicer_Risk_Level" caption="Risk_Level"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276CBE-A15A-4EDE-870F-F34FEDCAE333}" name="Table2" displayName="Table2" ref="A1:Q501" totalsRowShown="0" headerRowDxfId="6">
  <autoFilter ref="A1:Q501" xr:uid="{8A276CBE-A15A-4EDE-870F-F34FEDCAE333}"/>
  <tableColumns count="17">
    <tableColumn id="1" xr3:uid="{094F9167-58AA-4879-81A8-519FD816848D}" name="LoanID"/>
    <tableColumn id="2" xr3:uid="{0C64BB02-D3DB-4F29-97CB-37F22E3E35A0}" name="CustomerID"/>
    <tableColumn id="3" xr3:uid="{AF81D252-BAC8-4C0C-BD45-F417FA9697ED}" name="Age"/>
    <tableColumn id="4" xr3:uid="{A6946E57-C754-4E29-A428-EEE50A2E8B1F}" name="Income"/>
    <tableColumn id="5" xr3:uid="{2E4838FD-250D-466B-A522-B0358118FF88}" name="LoanAmount"/>
    <tableColumn id="6" xr3:uid="{BDD19CCE-0F39-4996-A121-FA1228BD1120}" name="InterestRate"/>
    <tableColumn id="7" xr3:uid="{45C7E016-7636-4FDD-94C6-04FD17A7FE70}" name="TenureMonths"/>
    <tableColumn id="8" xr3:uid="{97D215E9-DA58-406B-A46A-FDB95E9D87A0}" name="CreditScore"/>
    <tableColumn id="9" xr3:uid="{ADDDD769-B016-4B98-9585-7DFA80637915}" name="Region"/>
    <tableColumn id="10" xr3:uid="{6699C6C5-6B1D-4EF7-976E-93101BFD5FE0}" name="LoanType"/>
    <tableColumn id="11" xr3:uid="{BA33BEB0-FD55-4715-A223-8E32E25D3D05}" name="EMI"/>
    <tableColumn id="12" xr3:uid="{3289A664-BDF8-424E-920E-63C5B42F9029}" name="Status"/>
    <tableColumn id="13" xr3:uid="{0D2B12CF-439F-4D30-8861-F3FA9CF5C6C1}" name="StartDate" dataDxfId="5"/>
    <tableColumn id="14" xr3:uid="{6603022B-E77C-489A-979B-A5D7F7FAFB26}" name="City">
      <calculatedColumnFormula>_xlfn.XLOOKUP(B2,Customer_Master!A:A,Customer_Master!C:C,"Not Found")</calculatedColumnFormula>
    </tableColumn>
    <tableColumn id="15" xr3:uid="{5FE6BDE6-F531-4A2A-82A5-C884288A1C00}" name="Employment Type">
      <calculatedColumnFormula>_xlfn.XLOOKUP(B2,Customer_Master!A:A,Customer_Master!D:D,"Not Found")</calculatedColumnFormula>
    </tableColumn>
    <tableColumn id="16" xr3:uid="{5E08953C-F254-4D32-9861-D4EFFA826404}" name="Salary Band">
      <calculatedColumnFormula>_xlfn.XLOOKUP(B2,Customer_Master!A:A,Customer_Master!E:E,"Not Found")</calculatedColumnFormula>
    </tableColumn>
    <tableColumn id="17" xr3:uid="{9C86C73E-A2D9-42F1-A87B-7F4165D6F17B}" name="Risk_Level">
      <calculatedColumnFormula array="1">_xlfn.IFS(H2&lt;600,"High Risk",H2&lt;=750,"Medium Risk",TRUE,"Low Risk")</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81A0E8-3064-4C63-9EE8-002CE63FFC6F}" name="Table3" displayName="Table3" ref="F1:G501" totalsRowShown="0">
  <autoFilter ref="F1:G501" xr:uid="{F581A0E8-3064-4C63-9EE8-002CE63FFC6F}"/>
  <tableColumns count="2">
    <tableColumn id="1" xr3:uid="{9B3CFDCB-66E3-4D3E-845D-0F505C01E35B}" name="StartDate" dataDxfId="4"/>
    <tableColumn id="2" xr3:uid="{F2431682-26C7-461C-93FE-A1503B485009}" name="LoanAmount"/>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444453-267B-4041-9A44-3D267AA4D221}" name="Table1" displayName="Table1" ref="A1:B7" totalsRowShown="0" headerRowDxfId="3" dataDxfId="2">
  <autoFilter ref="A1:B7" xr:uid="{54444453-267B-4041-9A44-3D267AA4D221}"/>
  <tableColumns count="2">
    <tableColumn id="1" xr3:uid="{6EDB4559-2C42-4A99-9C5F-54759F52C9AB}" name="KPI" dataDxfId="1"/>
    <tableColumn id="2" xr3:uid="{4DB6F10C-21AF-4E54-B320-9AA42675B0D3}" name="Value" dataDxfId="0"/>
  </tableColumns>
  <tableStyleInfo name="TableStyleDark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F492-6ED7-4204-9FCB-121052B0A0CD}">
  <dimension ref="A1:S9"/>
  <sheetViews>
    <sheetView tabSelected="1" workbookViewId="0">
      <selection activeCell="J11" sqref="J11"/>
    </sheetView>
  </sheetViews>
  <sheetFormatPr defaultRowHeight="14.4" x14ac:dyDescent="0.3"/>
  <cols>
    <col min="1" max="1" width="12.5546875" style="9" bestFit="1" customWidth="1"/>
    <col min="2" max="2" width="18.6640625" style="9" bestFit="1" customWidth="1"/>
    <col min="3" max="3" width="8.88671875" style="9"/>
    <col min="4" max="4" width="12.5546875" style="9" bestFit="1" customWidth="1"/>
    <col min="5" max="5" width="14.77734375" style="9" bestFit="1" customWidth="1"/>
    <col min="6" max="6" width="14.109375" style="9" bestFit="1" customWidth="1"/>
    <col min="7" max="7" width="8.88671875" style="9"/>
    <col min="8" max="8" width="12.5546875" style="9" bestFit="1" customWidth="1"/>
    <col min="9" max="9" width="14.77734375" style="9" bestFit="1" customWidth="1"/>
    <col min="10" max="11" width="8.88671875" style="9"/>
    <col min="12" max="12" width="12.5546875" style="9" bestFit="1" customWidth="1"/>
    <col min="13" max="13" width="18.6640625" style="9" bestFit="1" customWidth="1"/>
    <col min="14" max="14" width="8.88671875" style="9"/>
    <col min="15" max="15" width="14.77734375" style="9" bestFit="1" customWidth="1"/>
    <col min="16" max="16" width="15.5546875" style="9" bestFit="1" customWidth="1"/>
    <col min="17" max="17" width="6.5546875" style="9" bestFit="1" customWidth="1"/>
    <col min="18" max="18" width="9.21875" style="9" bestFit="1" customWidth="1"/>
    <col min="19" max="19" width="10.77734375" style="9" bestFit="1" customWidth="1"/>
    <col min="20" max="16384" width="8.88671875" style="9"/>
  </cols>
  <sheetData>
    <row r="1" spans="1:19" x14ac:dyDescent="0.3">
      <c r="D1" s="9" t="s">
        <v>11</v>
      </c>
      <c r="E1" s="9" t="s">
        <v>34</v>
      </c>
    </row>
    <row r="3" spans="1:19" x14ac:dyDescent="0.3">
      <c r="A3" s="9" t="s">
        <v>959</v>
      </c>
      <c r="B3" s="9" t="s">
        <v>961</v>
      </c>
      <c r="D3" s="9" t="s">
        <v>959</v>
      </c>
      <c r="E3" s="9" t="s">
        <v>962</v>
      </c>
      <c r="F3" s="9" t="s">
        <v>963</v>
      </c>
      <c r="H3" s="9" t="s">
        <v>959</v>
      </c>
      <c r="I3" s="9" t="s">
        <v>962</v>
      </c>
      <c r="L3" s="9" t="s">
        <v>959</v>
      </c>
      <c r="M3" s="9" t="s">
        <v>961</v>
      </c>
      <c r="O3" s="9" t="s">
        <v>962</v>
      </c>
      <c r="P3" s="9" t="s">
        <v>967</v>
      </c>
    </row>
    <row r="4" spans="1:19" x14ac:dyDescent="0.3">
      <c r="A4" s="10" t="s">
        <v>20</v>
      </c>
      <c r="B4" s="9">
        <v>125556742</v>
      </c>
      <c r="D4" s="10" t="s">
        <v>16</v>
      </c>
      <c r="E4" s="9">
        <v>19</v>
      </c>
      <c r="F4" s="9">
        <v>19</v>
      </c>
      <c r="H4" s="10" t="s">
        <v>943</v>
      </c>
      <c r="I4" s="9">
        <v>161</v>
      </c>
      <c r="L4" s="10" t="s">
        <v>964</v>
      </c>
      <c r="M4" s="9">
        <v>185888429</v>
      </c>
      <c r="O4" s="9" t="s">
        <v>959</v>
      </c>
      <c r="P4" s="9" t="s">
        <v>22</v>
      </c>
      <c r="Q4" s="9" t="s">
        <v>17</v>
      </c>
      <c r="R4" s="9" t="s">
        <v>34</v>
      </c>
      <c r="S4" s="9" t="s">
        <v>960</v>
      </c>
    </row>
    <row r="5" spans="1:19" x14ac:dyDescent="0.3">
      <c r="A5" s="10" t="s">
        <v>15</v>
      </c>
      <c r="B5" s="9">
        <v>116070396</v>
      </c>
      <c r="D5" s="10" t="s">
        <v>21</v>
      </c>
      <c r="E5" s="9">
        <v>11</v>
      </c>
      <c r="F5" s="9">
        <v>11</v>
      </c>
      <c r="H5" s="10" t="s">
        <v>947</v>
      </c>
      <c r="I5" s="9">
        <v>133</v>
      </c>
      <c r="L5" s="10" t="s">
        <v>965</v>
      </c>
      <c r="M5" s="9">
        <v>195661403</v>
      </c>
      <c r="O5" s="10" t="s">
        <v>16</v>
      </c>
      <c r="P5" s="9">
        <v>87</v>
      </c>
      <c r="Q5" s="9">
        <v>40</v>
      </c>
      <c r="R5" s="9">
        <v>19</v>
      </c>
      <c r="S5" s="9">
        <v>146</v>
      </c>
    </row>
    <row r="6" spans="1:19" x14ac:dyDescent="0.3">
      <c r="A6" s="10" t="s">
        <v>27</v>
      </c>
      <c r="B6" s="9">
        <v>147667437</v>
      </c>
      <c r="D6" s="10" t="s">
        <v>28</v>
      </c>
      <c r="E6" s="9">
        <v>10</v>
      </c>
      <c r="F6" s="9">
        <v>10</v>
      </c>
      <c r="H6" s="10" t="s">
        <v>945</v>
      </c>
      <c r="I6" s="9">
        <v>206</v>
      </c>
      <c r="L6" s="10" t="s">
        <v>966</v>
      </c>
      <c r="M6" s="9">
        <v>133817924</v>
      </c>
      <c r="O6" s="10" t="s">
        <v>21</v>
      </c>
      <c r="P6" s="9">
        <v>72</v>
      </c>
      <c r="Q6" s="9">
        <v>36</v>
      </c>
      <c r="R6" s="9">
        <v>11</v>
      </c>
      <c r="S6" s="9">
        <v>119</v>
      </c>
    </row>
    <row r="7" spans="1:19" x14ac:dyDescent="0.3">
      <c r="A7" s="10" t="s">
        <v>31</v>
      </c>
      <c r="B7" s="9">
        <v>126073181</v>
      </c>
      <c r="D7" s="10" t="s">
        <v>39</v>
      </c>
      <c r="E7" s="9">
        <v>8</v>
      </c>
      <c r="F7" s="9">
        <v>8</v>
      </c>
      <c r="H7" s="10" t="s">
        <v>960</v>
      </c>
      <c r="I7" s="9">
        <v>500</v>
      </c>
      <c r="L7" s="10" t="s">
        <v>960</v>
      </c>
      <c r="M7" s="9">
        <v>515367756</v>
      </c>
      <c r="O7" s="10" t="s">
        <v>28</v>
      </c>
      <c r="P7" s="9">
        <v>76</v>
      </c>
      <c r="Q7" s="9">
        <v>31</v>
      </c>
      <c r="R7" s="9">
        <v>10</v>
      </c>
      <c r="S7" s="9">
        <v>117</v>
      </c>
    </row>
    <row r="8" spans="1:19" x14ac:dyDescent="0.3">
      <c r="A8" s="10" t="s">
        <v>960</v>
      </c>
      <c r="B8" s="9">
        <v>515367756</v>
      </c>
      <c r="D8" s="10" t="s">
        <v>960</v>
      </c>
      <c r="E8" s="9">
        <v>48</v>
      </c>
      <c r="F8" s="9">
        <v>48</v>
      </c>
      <c r="O8" s="10" t="s">
        <v>39</v>
      </c>
      <c r="P8" s="9">
        <v>71</v>
      </c>
      <c r="Q8" s="9">
        <v>39</v>
      </c>
      <c r="R8" s="9">
        <v>8</v>
      </c>
      <c r="S8" s="9">
        <v>118</v>
      </c>
    </row>
    <row r="9" spans="1:19" x14ac:dyDescent="0.3">
      <c r="O9" s="10" t="s">
        <v>960</v>
      </c>
      <c r="P9" s="9">
        <v>306</v>
      </c>
      <c r="Q9" s="9">
        <v>146</v>
      </c>
      <c r="R9" s="9">
        <v>48</v>
      </c>
      <c r="S9" s="9">
        <v>500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1"/>
  <sheetViews>
    <sheetView topLeftCell="A2" workbookViewId="0">
      <selection activeCell="F7" sqref="F7"/>
    </sheetView>
  </sheetViews>
  <sheetFormatPr defaultRowHeight="14.4" x14ac:dyDescent="0.3"/>
  <cols>
    <col min="2" max="2" width="12.77734375" customWidth="1"/>
    <col min="4" max="4" width="9.21875" customWidth="1"/>
    <col min="5" max="5" width="13.88671875" customWidth="1"/>
    <col min="6" max="6" width="13.109375" customWidth="1"/>
    <col min="7" max="7" width="15.33203125" customWidth="1"/>
    <col min="8" max="8" width="12.5546875" customWidth="1"/>
    <col min="10" max="10" width="12.44140625" bestFit="1" customWidth="1"/>
    <col min="13" max="13" width="16.77734375" style="8" bestFit="1" customWidth="1"/>
    <col min="14" max="14" width="9.77734375" bestFit="1" customWidth="1"/>
    <col min="15" max="15" width="18.21875" customWidth="1"/>
    <col min="16" max="16" width="12.77734375" customWidth="1"/>
    <col min="17" max="17" width="11.554687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7" t="s">
        <v>12</v>
      </c>
      <c r="N1" s="2" t="s">
        <v>715</v>
      </c>
      <c r="O1" s="2" t="s">
        <v>948</v>
      </c>
      <c r="P1" s="2" t="s">
        <v>949</v>
      </c>
      <c r="Q1" s="2" t="s">
        <v>950</v>
      </c>
    </row>
    <row r="2" spans="1:17" x14ac:dyDescent="0.3">
      <c r="A2" t="s">
        <v>13</v>
      </c>
      <c r="B2" t="s">
        <v>14</v>
      </c>
      <c r="C2">
        <v>39</v>
      </c>
      <c r="D2">
        <v>40513</v>
      </c>
      <c r="E2">
        <v>707284</v>
      </c>
      <c r="F2">
        <v>10.82</v>
      </c>
      <c r="G2">
        <v>60</v>
      </c>
      <c r="H2">
        <v>515</v>
      </c>
      <c r="I2" t="s">
        <v>15</v>
      </c>
      <c r="J2" t="s">
        <v>16</v>
      </c>
      <c r="K2">
        <v>15315</v>
      </c>
      <c r="L2" t="s">
        <v>17</v>
      </c>
      <c r="M2" s="8">
        <v>44953</v>
      </c>
      <c r="N2" t="str">
        <f>_xlfn.XLOOKUP(B2,Customer_Master!A:A,Customer_Master!C:C,"Not Found")</f>
        <v>Hyderabad</v>
      </c>
      <c r="O2" t="str">
        <f>_xlfn.XLOOKUP(B2,Customer_Master!A:A,Customer_Master!D:D,"Not Found")</f>
        <v>Self-Employed</v>
      </c>
      <c r="P2" t="str">
        <f>_xlfn.XLOOKUP(B2,Customer_Master!A:A,Customer_Master!E:E,"Not Found")</f>
        <v>High</v>
      </c>
      <c r="Q2" t="str" cm="1">
        <f t="array" ref="Q2">_xlfn.IFS(H2&lt;600,"High Risk",H2&lt;=750,"Medium Risk",TRUE,"Low Risk")</f>
        <v>High Risk</v>
      </c>
    </row>
    <row r="3" spans="1:17" x14ac:dyDescent="0.3">
      <c r="A3" t="s">
        <v>18</v>
      </c>
      <c r="B3" t="s">
        <v>19</v>
      </c>
      <c r="C3">
        <v>43</v>
      </c>
      <c r="D3">
        <v>82375</v>
      </c>
      <c r="E3">
        <v>921446</v>
      </c>
      <c r="F3">
        <v>13.98</v>
      </c>
      <c r="G3">
        <v>180</v>
      </c>
      <c r="H3">
        <v>810</v>
      </c>
      <c r="I3" t="s">
        <v>20</v>
      </c>
      <c r="J3" t="s">
        <v>21</v>
      </c>
      <c r="K3">
        <v>12259</v>
      </c>
      <c r="L3" t="s">
        <v>22</v>
      </c>
      <c r="M3" s="8">
        <v>44569</v>
      </c>
      <c r="N3" t="str">
        <f>_xlfn.XLOOKUP(B3,Customer_Master!A:A,Customer_Master!C:C,"Not Found")</f>
        <v>Chennai</v>
      </c>
      <c r="O3" t="str">
        <f>_xlfn.XLOOKUP(B3,Customer_Master!A:A,Customer_Master!D:D,"Not Found")</f>
        <v>Salaried</v>
      </c>
      <c r="P3" t="str">
        <f>_xlfn.XLOOKUP(B3,Customer_Master!A:A,Customer_Master!E:E,"Not Found")</f>
        <v>High</v>
      </c>
      <c r="Q3" t="str" cm="1">
        <f t="array" ref="Q3">_xlfn.IFS(H3&lt;600,"High Risk",H3&lt;=750,"Medium Risk",TRUE,"Low Risk")</f>
        <v>Low Risk</v>
      </c>
    </row>
    <row r="4" spans="1:17" x14ac:dyDescent="0.3">
      <c r="A4" t="s">
        <v>23</v>
      </c>
      <c r="B4" t="s">
        <v>24</v>
      </c>
      <c r="C4">
        <v>40</v>
      </c>
      <c r="D4">
        <v>154952</v>
      </c>
      <c r="E4">
        <v>907995</v>
      </c>
      <c r="F4">
        <v>8.83</v>
      </c>
      <c r="G4">
        <v>12</v>
      </c>
      <c r="H4">
        <v>650</v>
      </c>
      <c r="I4" t="s">
        <v>20</v>
      </c>
      <c r="J4" t="s">
        <v>16</v>
      </c>
      <c r="K4">
        <v>79334</v>
      </c>
      <c r="L4" t="s">
        <v>22</v>
      </c>
      <c r="M4" s="8">
        <v>45047</v>
      </c>
      <c r="N4" t="str">
        <f>_xlfn.XLOOKUP(B4,Customer_Master!A:A,Customer_Master!C:C,"Not Found")</f>
        <v>Pune</v>
      </c>
      <c r="O4" t="str">
        <f>_xlfn.XLOOKUP(B4,Customer_Master!A:A,Customer_Master!D:D,"Not Found")</f>
        <v>Business Owner</v>
      </c>
      <c r="P4" t="str">
        <f>_xlfn.XLOOKUP(B4,Customer_Master!A:A,Customer_Master!E:E,"Not Found")</f>
        <v>High</v>
      </c>
      <c r="Q4" t="str" cm="1">
        <f t="array" ref="Q4">_xlfn.IFS(H4&lt;600,"High Risk",H4&lt;=750,"Medium Risk",TRUE,"Low Risk")</f>
        <v>Medium Risk</v>
      </c>
    </row>
    <row r="5" spans="1:17" x14ac:dyDescent="0.3">
      <c r="A5" t="s">
        <v>25</v>
      </c>
      <c r="B5" t="s">
        <v>26</v>
      </c>
      <c r="C5">
        <v>25</v>
      </c>
      <c r="D5">
        <v>90944</v>
      </c>
      <c r="E5">
        <v>449052</v>
      </c>
      <c r="F5">
        <v>7.78</v>
      </c>
      <c r="G5">
        <v>12</v>
      </c>
      <c r="H5">
        <v>672</v>
      </c>
      <c r="I5" t="s">
        <v>27</v>
      </c>
      <c r="J5" t="s">
        <v>28</v>
      </c>
      <c r="K5">
        <v>39017</v>
      </c>
      <c r="L5" t="s">
        <v>22</v>
      </c>
      <c r="M5" s="8">
        <v>45306</v>
      </c>
      <c r="N5" t="str">
        <f>_xlfn.XLOOKUP(B5,Customer_Master!A:A,Customer_Master!C:C,"Not Found")</f>
        <v>Chennai</v>
      </c>
      <c r="O5" t="str">
        <f>_xlfn.XLOOKUP(B5,Customer_Master!A:A,Customer_Master!D:D,"Not Found")</f>
        <v>Business Owner</v>
      </c>
      <c r="P5" t="str">
        <f>_xlfn.XLOOKUP(B5,Customer_Master!A:A,Customer_Master!E:E,"Not Found")</f>
        <v>High</v>
      </c>
      <c r="Q5" t="str" cm="1">
        <f t="array" ref="Q5">_xlfn.IFS(H5&lt;600,"High Risk",H5&lt;=750,"Medium Risk",TRUE,"Low Risk")</f>
        <v>Medium Risk</v>
      </c>
    </row>
    <row r="6" spans="1:17" x14ac:dyDescent="0.3">
      <c r="A6" t="s">
        <v>29</v>
      </c>
      <c r="B6" t="s">
        <v>30</v>
      </c>
      <c r="C6">
        <v>26</v>
      </c>
      <c r="D6">
        <v>155250</v>
      </c>
      <c r="E6">
        <v>1975970</v>
      </c>
      <c r="F6">
        <v>8.36</v>
      </c>
      <c r="G6">
        <v>180</v>
      </c>
      <c r="H6">
        <v>577</v>
      </c>
      <c r="I6" t="s">
        <v>31</v>
      </c>
      <c r="J6" t="s">
        <v>28</v>
      </c>
      <c r="K6">
        <v>19296</v>
      </c>
      <c r="L6" t="s">
        <v>22</v>
      </c>
      <c r="M6" s="8">
        <v>45315</v>
      </c>
      <c r="N6" t="str">
        <f>_xlfn.XLOOKUP(B6,Customer_Master!A:A,Customer_Master!C:C,"Not Found")</f>
        <v>Delhi</v>
      </c>
      <c r="O6" t="str">
        <f>_xlfn.XLOOKUP(B6,Customer_Master!A:A,Customer_Master!D:D,"Not Found")</f>
        <v>Business Owner</v>
      </c>
      <c r="P6" t="str">
        <f>_xlfn.XLOOKUP(B6,Customer_Master!A:A,Customer_Master!E:E,"Not Found")</f>
        <v>High</v>
      </c>
      <c r="Q6" t="str" cm="1">
        <f t="array" ref="Q6">_xlfn.IFS(H6&lt;600,"High Risk",H6&lt;=750,"Medium Risk",TRUE,"Low Risk")</f>
        <v>High Risk</v>
      </c>
    </row>
    <row r="7" spans="1:17" x14ac:dyDescent="0.3">
      <c r="A7" t="s">
        <v>32</v>
      </c>
      <c r="B7" t="s">
        <v>33</v>
      </c>
      <c r="C7">
        <v>35</v>
      </c>
      <c r="D7">
        <v>182464</v>
      </c>
      <c r="E7">
        <v>1108068</v>
      </c>
      <c r="F7">
        <v>16.22</v>
      </c>
      <c r="G7">
        <v>48</v>
      </c>
      <c r="H7">
        <v>567</v>
      </c>
      <c r="I7" t="s">
        <v>31</v>
      </c>
      <c r="J7" t="s">
        <v>16</v>
      </c>
      <c r="K7">
        <v>31528</v>
      </c>
      <c r="L7" t="s">
        <v>34</v>
      </c>
      <c r="M7" s="8">
        <v>45134</v>
      </c>
      <c r="N7" t="str">
        <f>_xlfn.XLOOKUP(B7,Customer_Master!A:A,Customer_Master!C:C,"Not Found")</f>
        <v>Bangalore</v>
      </c>
      <c r="O7" t="str">
        <f>_xlfn.XLOOKUP(B7,Customer_Master!A:A,Customer_Master!D:D,"Not Found")</f>
        <v>Salaried</v>
      </c>
      <c r="P7" t="str">
        <f>_xlfn.XLOOKUP(B7,Customer_Master!A:A,Customer_Master!E:E,"Not Found")</f>
        <v>Medium</v>
      </c>
      <c r="Q7" t="str" cm="1">
        <f t="array" ref="Q7">_xlfn.IFS(H7&lt;600,"High Risk",H7&lt;=750,"Medium Risk",TRUE,"Low Risk")</f>
        <v>High Risk</v>
      </c>
    </row>
    <row r="8" spans="1:17" x14ac:dyDescent="0.3">
      <c r="A8" t="s">
        <v>35</v>
      </c>
      <c r="B8" t="s">
        <v>36</v>
      </c>
      <c r="C8">
        <v>25</v>
      </c>
      <c r="D8">
        <v>111247</v>
      </c>
      <c r="E8">
        <v>464871</v>
      </c>
      <c r="F8">
        <v>13.76</v>
      </c>
      <c r="G8">
        <v>36</v>
      </c>
      <c r="H8">
        <v>611</v>
      </c>
      <c r="I8" t="s">
        <v>20</v>
      </c>
      <c r="J8" t="s">
        <v>28</v>
      </c>
      <c r="K8">
        <v>15834</v>
      </c>
      <c r="L8" t="s">
        <v>17</v>
      </c>
      <c r="M8" s="8">
        <v>44913</v>
      </c>
      <c r="N8" t="str">
        <f>_xlfn.XLOOKUP(B8,Customer_Master!A:A,Customer_Master!C:C,"Not Found")</f>
        <v>Chennai</v>
      </c>
      <c r="O8" t="str">
        <f>_xlfn.XLOOKUP(B8,Customer_Master!A:A,Customer_Master!D:D,"Not Found")</f>
        <v>Self-Employed</v>
      </c>
      <c r="P8" t="str">
        <f>_xlfn.XLOOKUP(B8,Customer_Master!A:A,Customer_Master!E:E,"Not Found")</f>
        <v>Low</v>
      </c>
      <c r="Q8" t="str" cm="1">
        <f t="array" ref="Q8">_xlfn.IFS(H8&lt;600,"High Risk",H8&lt;=750,"Medium Risk",TRUE,"Low Risk")</f>
        <v>Medium Risk</v>
      </c>
    </row>
    <row r="9" spans="1:17" x14ac:dyDescent="0.3">
      <c r="A9" t="s">
        <v>37</v>
      </c>
      <c r="B9" t="s">
        <v>38</v>
      </c>
      <c r="C9">
        <v>45</v>
      </c>
      <c r="D9">
        <v>82621</v>
      </c>
      <c r="E9">
        <v>1272571</v>
      </c>
      <c r="F9">
        <v>10.42</v>
      </c>
      <c r="G9">
        <v>48</v>
      </c>
      <c r="H9">
        <v>798</v>
      </c>
      <c r="I9" t="s">
        <v>31</v>
      </c>
      <c r="J9" t="s">
        <v>39</v>
      </c>
      <c r="K9">
        <v>32533</v>
      </c>
      <c r="L9" t="s">
        <v>22</v>
      </c>
      <c r="M9" s="8">
        <v>45481</v>
      </c>
      <c r="N9" t="str">
        <f>_xlfn.XLOOKUP(B9,Customer_Master!A:A,Customer_Master!C:C,"Not Found")</f>
        <v>Pune</v>
      </c>
      <c r="O9" t="str">
        <f>_xlfn.XLOOKUP(B9,Customer_Master!A:A,Customer_Master!D:D,"Not Found")</f>
        <v>Salaried</v>
      </c>
      <c r="P9" t="str">
        <f>_xlfn.XLOOKUP(B9,Customer_Master!A:A,Customer_Master!E:E,"Not Found")</f>
        <v>High</v>
      </c>
      <c r="Q9" t="str" cm="1">
        <f t="array" ref="Q9">_xlfn.IFS(H9&lt;600,"High Risk",H9&lt;=750,"Medium Risk",TRUE,"Low Risk")</f>
        <v>Low Risk</v>
      </c>
    </row>
    <row r="10" spans="1:17" x14ac:dyDescent="0.3">
      <c r="A10" t="s">
        <v>40</v>
      </c>
      <c r="B10" t="s">
        <v>41</v>
      </c>
      <c r="C10">
        <v>39</v>
      </c>
      <c r="D10">
        <v>68098</v>
      </c>
      <c r="E10">
        <v>768381</v>
      </c>
      <c r="F10">
        <v>10.3</v>
      </c>
      <c r="G10">
        <v>24</v>
      </c>
      <c r="H10">
        <v>794</v>
      </c>
      <c r="I10" t="s">
        <v>15</v>
      </c>
      <c r="J10" t="s">
        <v>39</v>
      </c>
      <c r="K10">
        <v>35563</v>
      </c>
      <c r="L10" t="s">
        <v>22</v>
      </c>
      <c r="M10" s="8">
        <v>45321</v>
      </c>
      <c r="N10" t="str">
        <f>_xlfn.XLOOKUP(B10,Customer_Master!A:A,Customer_Master!C:C,"Not Found")</f>
        <v>Delhi</v>
      </c>
      <c r="O10" t="str">
        <f>_xlfn.XLOOKUP(B10,Customer_Master!A:A,Customer_Master!D:D,"Not Found")</f>
        <v>Business Owner</v>
      </c>
      <c r="P10" t="str">
        <f>_xlfn.XLOOKUP(B10,Customer_Master!A:A,Customer_Master!E:E,"Not Found")</f>
        <v>High</v>
      </c>
      <c r="Q10" t="str" cm="1">
        <f t="array" ref="Q10">_xlfn.IFS(H10&lt;600,"High Risk",H10&lt;=750,"Medium Risk",TRUE,"Low Risk")</f>
        <v>Low Risk</v>
      </c>
    </row>
    <row r="11" spans="1:17" x14ac:dyDescent="0.3">
      <c r="A11" t="s">
        <v>42</v>
      </c>
      <c r="B11" t="s">
        <v>43</v>
      </c>
      <c r="C11">
        <v>25</v>
      </c>
      <c r="D11">
        <v>56411</v>
      </c>
      <c r="E11">
        <v>1299686</v>
      </c>
      <c r="F11">
        <v>14.26</v>
      </c>
      <c r="G11">
        <v>36</v>
      </c>
      <c r="H11">
        <v>619</v>
      </c>
      <c r="I11" t="s">
        <v>15</v>
      </c>
      <c r="J11" t="s">
        <v>39</v>
      </c>
      <c r="K11">
        <v>44584</v>
      </c>
      <c r="L11" t="s">
        <v>22</v>
      </c>
      <c r="M11" s="8">
        <v>45123</v>
      </c>
      <c r="N11" t="str">
        <f>_xlfn.XLOOKUP(B11,Customer_Master!A:A,Customer_Master!C:C,"Not Found")</f>
        <v>Chennai</v>
      </c>
      <c r="O11" t="str">
        <f>_xlfn.XLOOKUP(B11,Customer_Master!A:A,Customer_Master!D:D,"Not Found")</f>
        <v>Business Owner</v>
      </c>
      <c r="P11" t="str">
        <f>_xlfn.XLOOKUP(B11,Customer_Master!A:A,Customer_Master!E:E,"Not Found")</f>
        <v>Low</v>
      </c>
      <c r="Q11" t="str" cm="1">
        <f t="array" ref="Q11">_xlfn.IFS(H11&lt;600,"High Risk",H11&lt;=750,"Medium Risk",TRUE,"Low Risk")</f>
        <v>Medium Risk</v>
      </c>
    </row>
    <row r="12" spans="1:17" x14ac:dyDescent="0.3">
      <c r="A12" t="s">
        <v>44</v>
      </c>
      <c r="B12" t="s">
        <v>45</v>
      </c>
      <c r="C12">
        <v>36</v>
      </c>
      <c r="D12">
        <v>80174</v>
      </c>
      <c r="E12">
        <v>478994</v>
      </c>
      <c r="F12">
        <v>10.15</v>
      </c>
      <c r="G12">
        <v>60</v>
      </c>
      <c r="H12">
        <v>839</v>
      </c>
      <c r="I12" t="s">
        <v>31</v>
      </c>
      <c r="J12" t="s">
        <v>16</v>
      </c>
      <c r="K12">
        <v>10213</v>
      </c>
      <c r="L12" t="s">
        <v>22</v>
      </c>
      <c r="M12" s="8">
        <v>45202</v>
      </c>
      <c r="N12" t="str">
        <f>_xlfn.XLOOKUP(B12,Customer_Master!A:A,Customer_Master!C:C,"Not Found")</f>
        <v>Pune</v>
      </c>
      <c r="O12" t="str">
        <f>_xlfn.XLOOKUP(B12,Customer_Master!A:A,Customer_Master!D:D,"Not Found")</f>
        <v>Self-Employed</v>
      </c>
      <c r="P12" t="str">
        <f>_xlfn.XLOOKUP(B12,Customer_Master!A:A,Customer_Master!E:E,"Not Found")</f>
        <v>Low</v>
      </c>
      <c r="Q12" t="str" cm="1">
        <f t="array" ref="Q12">_xlfn.IFS(H12&lt;600,"High Risk",H12&lt;=750,"Medium Risk",TRUE,"Low Risk")</f>
        <v>Low Risk</v>
      </c>
    </row>
    <row r="13" spans="1:17" x14ac:dyDescent="0.3">
      <c r="A13" t="s">
        <v>46</v>
      </c>
      <c r="B13" t="s">
        <v>47</v>
      </c>
      <c r="C13">
        <v>29</v>
      </c>
      <c r="D13">
        <v>95951</v>
      </c>
      <c r="E13">
        <v>737583</v>
      </c>
      <c r="F13">
        <v>15.43</v>
      </c>
      <c r="G13">
        <v>36</v>
      </c>
      <c r="H13">
        <v>764</v>
      </c>
      <c r="I13" t="s">
        <v>20</v>
      </c>
      <c r="J13" t="s">
        <v>39</v>
      </c>
      <c r="K13">
        <v>25724</v>
      </c>
      <c r="L13" t="s">
        <v>22</v>
      </c>
      <c r="M13" s="8">
        <v>45503</v>
      </c>
      <c r="N13" t="str">
        <f>_xlfn.XLOOKUP(B13,Customer_Master!A:A,Customer_Master!C:C,"Not Found")</f>
        <v>Mumbai</v>
      </c>
      <c r="O13" t="str">
        <f>_xlfn.XLOOKUP(B13,Customer_Master!A:A,Customer_Master!D:D,"Not Found")</f>
        <v>Business Owner</v>
      </c>
      <c r="P13" t="str">
        <f>_xlfn.XLOOKUP(B13,Customer_Master!A:A,Customer_Master!E:E,"Not Found")</f>
        <v>High</v>
      </c>
      <c r="Q13" t="str" cm="1">
        <f t="array" ref="Q13">_xlfn.IFS(H13&lt;600,"High Risk",H13&lt;=750,"Medium Risk",TRUE,"Low Risk")</f>
        <v>Low Risk</v>
      </c>
    </row>
    <row r="14" spans="1:17" x14ac:dyDescent="0.3">
      <c r="A14" t="s">
        <v>48</v>
      </c>
      <c r="B14" t="s">
        <v>49</v>
      </c>
      <c r="C14">
        <v>49</v>
      </c>
      <c r="D14">
        <v>42043</v>
      </c>
      <c r="E14">
        <v>1008209</v>
      </c>
      <c r="F14">
        <v>7.93</v>
      </c>
      <c r="G14">
        <v>12</v>
      </c>
      <c r="H14">
        <v>764</v>
      </c>
      <c r="I14" t="s">
        <v>31</v>
      </c>
      <c r="J14" t="s">
        <v>21</v>
      </c>
      <c r="K14">
        <v>87670</v>
      </c>
      <c r="L14" t="s">
        <v>22</v>
      </c>
      <c r="M14" s="8">
        <v>45194</v>
      </c>
      <c r="N14" t="str">
        <f>_xlfn.XLOOKUP(B14,Customer_Master!A:A,Customer_Master!C:C,"Not Found")</f>
        <v>Mumbai</v>
      </c>
      <c r="O14" t="str">
        <f>_xlfn.XLOOKUP(B14,Customer_Master!A:A,Customer_Master!D:D,"Not Found")</f>
        <v>Salaried</v>
      </c>
      <c r="P14" t="str">
        <f>_xlfn.XLOOKUP(B14,Customer_Master!A:A,Customer_Master!E:E,"Not Found")</f>
        <v>Low</v>
      </c>
      <c r="Q14" t="str" cm="1">
        <f t="array" ref="Q14">_xlfn.IFS(H14&lt;600,"High Risk",H14&lt;=750,"Medium Risk",TRUE,"Low Risk")</f>
        <v>Low Risk</v>
      </c>
    </row>
    <row r="15" spans="1:17" x14ac:dyDescent="0.3">
      <c r="A15" t="s">
        <v>50</v>
      </c>
      <c r="B15" t="s">
        <v>51</v>
      </c>
      <c r="C15">
        <v>32</v>
      </c>
      <c r="D15">
        <v>116718</v>
      </c>
      <c r="E15">
        <v>1013858</v>
      </c>
      <c r="F15">
        <v>15.22</v>
      </c>
      <c r="G15">
        <v>180</v>
      </c>
      <c r="H15">
        <v>706</v>
      </c>
      <c r="I15" t="s">
        <v>27</v>
      </c>
      <c r="J15" t="s">
        <v>16</v>
      </c>
      <c r="K15">
        <v>14343</v>
      </c>
      <c r="L15" t="s">
        <v>22</v>
      </c>
      <c r="M15" s="8">
        <v>45438</v>
      </c>
      <c r="N15" t="str">
        <f>_xlfn.XLOOKUP(B15,Customer_Master!A:A,Customer_Master!C:C,"Not Found")</f>
        <v>Bangalore</v>
      </c>
      <c r="O15" t="str">
        <f>_xlfn.XLOOKUP(B15,Customer_Master!A:A,Customer_Master!D:D,"Not Found")</f>
        <v>Business Owner</v>
      </c>
      <c r="P15" t="str">
        <f>_xlfn.XLOOKUP(B15,Customer_Master!A:A,Customer_Master!E:E,"Not Found")</f>
        <v>Medium</v>
      </c>
      <c r="Q15" t="str" cm="1">
        <f t="array" ref="Q15">_xlfn.IFS(H15&lt;600,"High Risk",H15&lt;=750,"Medium Risk",TRUE,"Low Risk")</f>
        <v>Medium Risk</v>
      </c>
    </row>
    <row r="16" spans="1:17" x14ac:dyDescent="0.3">
      <c r="A16" t="s">
        <v>52</v>
      </c>
      <c r="B16" t="s">
        <v>53</v>
      </c>
      <c r="C16">
        <v>37</v>
      </c>
      <c r="D16">
        <v>55765</v>
      </c>
      <c r="E16">
        <v>1380340</v>
      </c>
      <c r="F16">
        <v>12.6</v>
      </c>
      <c r="G16">
        <v>180</v>
      </c>
      <c r="H16">
        <v>757</v>
      </c>
      <c r="I16" t="s">
        <v>15</v>
      </c>
      <c r="J16" t="s">
        <v>39</v>
      </c>
      <c r="K16">
        <v>17103</v>
      </c>
      <c r="L16" t="s">
        <v>22</v>
      </c>
      <c r="M16" s="8">
        <v>45208</v>
      </c>
      <c r="N16" t="str">
        <f>_xlfn.XLOOKUP(B16,Customer_Master!A:A,Customer_Master!C:C,"Not Found")</f>
        <v>Bangalore</v>
      </c>
      <c r="O16" t="str">
        <f>_xlfn.XLOOKUP(B16,Customer_Master!A:A,Customer_Master!D:D,"Not Found")</f>
        <v>Salaried</v>
      </c>
      <c r="P16" t="str">
        <f>_xlfn.XLOOKUP(B16,Customer_Master!A:A,Customer_Master!E:E,"Not Found")</f>
        <v>Medium</v>
      </c>
      <c r="Q16" t="str" cm="1">
        <f t="array" ref="Q16">_xlfn.IFS(H16&lt;600,"High Risk",H16&lt;=750,"Medium Risk",TRUE,"Low Risk")</f>
        <v>Low Risk</v>
      </c>
    </row>
    <row r="17" spans="1:17" x14ac:dyDescent="0.3">
      <c r="A17" t="s">
        <v>54</v>
      </c>
      <c r="B17" t="s">
        <v>55</v>
      </c>
      <c r="C17">
        <v>44</v>
      </c>
      <c r="D17">
        <v>100181</v>
      </c>
      <c r="E17">
        <v>438117</v>
      </c>
      <c r="F17">
        <v>14.24</v>
      </c>
      <c r="G17">
        <v>12</v>
      </c>
      <c r="H17">
        <v>737</v>
      </c>
      <c r="I17" t="s">
        <v>31</v>
      </c>
      <c r="J17" t="s">
        <v>21</v>
      </c>
      <c r="K17">
        <v>39387</v>
      </c>
      <c r="L17" t="s">
        <v>22</v>
      </c>
      <c r="M17" s="8">
        <v>44617</v>
      </c>
      <c r="N17" t="str">
        <f>_xlfn.XLOOKUP(B17,Customer_Master!A:A,Customer_Master!C:C,"Not Found")</f>
        <v>Delhi</v>
      </c>
      <c r="O17" t="str">
        <f>_xlfn.XLOOKUP(B17,Customer_Master!A:A,Customer_Master!D:D,"Not Found")</f>
        <v>Salaried</v>
      </c>
      <c r="P17" t="str">
        <f>_xlfn.XLOOKUP(B17,Customer_Master!A:A,Customer_Master!E:E,"Not Found")</f>
        <v>Medium</v>
      </c>
      <c r="Q17" t="str" cm="1">
        <f t="array" ref="Q17">_xlfn.IFS(H17&lt;600,"High Risk",H17&lt;=750,"Medium Risk",TRUE,"Low Risk")</f>
        <v>Medium Risk</v>
      </c>
    </row>
    <row r="18" spans="1:17" x14ac:dyDescent="0.3">
      <c r="A18" t="s">
        <v>56</v>
      </c>
      <c r="B18" t="s">
        <v>57</v>
      </c>
      <c r="C18">
        <v>30</v>
      </c>
      <c r="D18">
        <v>53536</v>
      </c>
      <c r="E18">
        <v>231401</v>
      </c>
      <c r="F18">
        <v>9.49</v>
      </c>
      <c r="G18">
        <v>120</v>
      </c>
      <c r="H18">
        <v>760</v>
      </c>
      <c r="I18" t="s">
        <v>27</v>
      </c>
      <c r="J18" t="s">
        <v>39</v>
      </c>
      <c r="K18">
        <v>2993</v>
      </c>
      <c r="L18" t="s">
        <v>17</v>
      </c>
      <c r="M18" s="8">
        <v>45327</v>
      </c>
      <c r="N18" t="str">
        <f>_xlfn.XLOOKUP(B18,Customer_Master!A:A,Customer_Master!C:C,"Not Found")</f>
        <v>Pune</v>
      </c>
      <c r="O18" t="str">
        <f>_xlfn.XLOOKUP(B18,Customer_Master!A:A,Customer_Master!D:D,"Not Found")</f>
        <v>Salaried</v>
      </c>
      <c r="P18" t="str">
        <f>_xlfn.XLOOKUP(B18,Customer_Master!A:A,Customer_Master!E:E,"Not Found")</f>
        <v>Medium</v>
      </c>
      <c r="Q18" t="str" cm="1">
        <f t="array" ref="Q18">_xlfn.IFS(H18&lt;600,"High Risk",H18&lt;=750,"Medium Risk",TRUE,"Low Risk")</f>
        <v>Low Risk</v>
      </c>
    </row>
    <row r="19" spans="1:17" x14ac:dyDescent="0.3">
      <c r="A19" t="s">
        <v>58</v>
      </c>
      <c r="B19" t="s">
        <v>59</v>
      </c>
      <c r="C19">
        <v>53</v>
      </c>
      <c r="D19">
        <v>183927</v>
      </c>
      <c r="E19">
        <v>974216</v>
      </c>
      <c r="F19">
        <v>12.27</v>
      </c>
      <c r="G19">
        <v>180</v>
      </c>
      <c r="H19">
        <v>584</v>
      </c>
      <c r="I19" t="s">
        <v>31</v>
      </c>
      <c r="J19" t="s">
        <v>28</v>
      </c>
      <c r="K19">
        <v>11862</v>
      </c>
      <c r="L19" t="s">
        <v>22</v>
      </c>
      <c r="M19" s="8">
        <v>45057</v>
      </c>
      <c r="N19" t="str">
        <f>_xlfn.XLOOKUP(B19,Customer_Master!A:A,Customer_Master!C:C,"Not Found")</f>
        <v>Pune</v>
      </c>
      <c r="O19" t="str">
        <f>_xlfn.XLOOKUP(B19,Customer_Master!A:A,Customer_Master!D:D,"Not Found")</f>
        <v>Self-Employed</v>
      </c>
      <c r="P19" t="str">
        <f>_xlfn.XLOOKUP(B19,Customer_Master!A:A,Customer_Master!E:E,"Not Found")</f>
        <v>Low</v>
      </c>
      <c r="Q19" t="str" cm="1">
        <f t="array" ref="Q19">_xlfn.IFS(H19&lt;600,"High Risk",H19&lt;=750,"Medium Risk",TRUE,"Low Risk")</f>
        <v>High Risk</v>
      </c>
    </row>
    <row r="20" spans="1:17" x14ac:dyDescent="0.3">
      <c r="A20" t="s">
        <v>60</v>
      </c>
      <c r="B20" t="s">
        <v>61</v>
      </c>
      <c r="C20">
        <v>39</v>
      </c>
      <c r="D20">
        <v>63531</v>
      </c>
      <c r="E20">
        <v>1572278</v>
      </c>
      <c r="F20">
        <v>14.03</v>
      </c>
      <c r="G20">
        <v>240</v>
      </c>
      <c r="H20">
        <v>774</v>
      </c>
      <c r="I20" t="s">
        <v>27</v>
      </c>
      <c r="J20" t="s">
        <v>16</v>
      </c>
      <c r="K20">
        <v>19586</v>
      </c>
      <c r="L20" t="s">
        <v>17</v>
      </c>
      <c r="M20" s="8">
        <v>45392</v>
      </c>
      <c r="N20" t="str">
        <f>_xlfn.XLOOKUP(B20,Customer_Master!A:A,Customer_Master!C:C,"Not Found")</f>
        <v>Pune</v>
      </c>
      <c r="O20" t="str">
        <f>_xlfn.XLOOKUP(B20,Customer_Master!A:A,Customer_Master!D:D,"Not Found")</f>
        <v>Business Owner</v>
      </c>
      <c r="P20" t="str">
        <f>_xlfn.XLOOKUP(B20,Customer_Master!A:A,Customer_Master!E:E,"Not Found")</f>
        <v>Medium</v>
      </c>
      <c r="Q20" t="str" cm="1">
        <f t="array" ref="Q20">_xlfn.IFS(H20&lt;600,"High Risk",H20&lt;=750,"Medium Risk",TRUE,"Low Risk")</f>
        <v>Low Risk</v>
      </c>
    </row>
    <row r="21" spans="1:17" x14ac:dyDescent="0.3">
      <c r="A21" t="s">
        <v>62</v>
      </c>
      <c r="B21" t="s">
        <v>63</v>
      </c>
      <c r="C21">
        <v>25</v>
      </c>
      <c r="D21">
        <v>91120</v>
      </c>
      <c r="E21">
        <v>578454</v>
      </c>
      <c r="F21">
        <v>16.399999999999999</v>
      </c>
      <c r="G21">
        <v>24</v>
      </c>
      <c r="H21">
        <v>700</v>
      </c>
      <c r="I21" t="s">
        <v>27</v>
      </c>
      <c r="J21" t="s">
        <v>16</v>
      </c>
      <c r="K21">
        <v>28434</v>
      </c>
      <c r="L21" t="s">
        <v>22</v>
      </c>
      <c r="M21" s="8">
        <v>45012</v>
      </c>
      <c r="N21" t="str">
        <f>_xlfn.XLOOKUP(B21,Customer_Master!A:A,Customer_Master!C:C,"Not Found")</f>
        <v>Mumbai</v>
      </c>
      <c r="O21" t="str">
        <f>_xlfn.XLOOKUP(B21,Customer_Master!A:A,Customer_Master!D:D,"Not Found")</f>
        <v>Business Owner</v>
      </c>
      <c r="P21" t="str">
        <f>_xlfn.XLOOKUP(B21,Customer_Master!A:A,Customer_Master!E:E,"Not Found")</f>
        <v>Medium</v>
      </c>
      <c r="Q21" t="str" cm="1">
        <f t="array" ref="Q21">_xlfn.IFS(H21&lt;600,"High Risk",H21&lt;=750,"Medium Risk",TRUE,"Low Risk")</f>
        <v>Medium Risk</v>
      </c>
    </row>
    <row r="22" spans="1:17" x14ac:dyDescent="0.3">
      <c r="A22" t="s">
        <v>64</v>
      </c>
      <c r="B22" t="s">
        <v>65</v>
      </c>
      <c r="C22">
        <v>42</v>
      </c>
      <c r="D22">
        <v>141097</v>
      </c>
      <c r="E22">
        <v>944252</v>
      </c>
      <c r="F22">
        <v>10.51</v>
      </c>
      <c r="G22">
        <v>60</v>
      </c>
      <c r="H22">
        <v>769</v>
      </c>
      <c r="I22" t="s">
        <v>27</v>
      </c>
      <c r="J22" t="s">
        <v>16</v>
      </c>
      <c r="K22">
        <v>20300</v>
      </c>
      <c r="L22" t="s">
        <v>22</v>
      </c>
      <c r="M22" s="8">
        <v>45196</v>
      </c>
      <c r="N22" t="str">
        <f>_xlfn.XLOOKUP(B22,Customer_Master!A:A,Customer_Master!C:C,"Not Found")</f>
        <v>Delhi</v>
      </c>
      <c r="O22" t="str">
        <f>_xlfn.XLOOKUP(B22,Customer_Master!A:A,Customer_Master!D:D,"Not Found")</f>
        <v>Business Owner</v>
      </c>
      <c r="P22" t="str">
        <f>_xlfn.XLOOKUP(B22,Customer_Master!A:A,Customer_Master!E:E,"Not Found")</f>
        <v>Low</v>
      </c>
      <c r="Q22" t="str" cm="1">
        <f t="array" ref="Q22">_xlfn.IFS(H22&lt;600,"High Risk",H22&lt;=750,"Medium Risk",TRUE,"Low Risk")</f>
        <v>Low Risk</v>
      </c>
    </row>
    <row r="23" spans="1:17" x14ac:dyDescent="0.3">
      <c r="A23" t="s">
        <v>66</v>
      </c>
      <c r="B23" t="s">
        <v>67</v>
      </c>
      <c r="C23">
        <v>48</v>
      </c>
      <c r="D23">
        <v>118278</v>
      </c>
      <c r="E23">
        <v>819078</v>
      </c>
      <c r="F23">
        <v>14.25</v>
      </c>
      <c r="G23">
        <v>48</v>
      </c>
      <c r="H23">
        <v>804</v>
      </c>
      <c r="I23" t="s">
        <v>27</v>
      </c>
      <c r="J23" t="s">
        <v>16</v>
      </c>
      <c r="K23">
        <v>22485</v>
      </c>
      <c r="L23" t="s">
        <v>22</v>
      </c>
      <c r="M23" s="8">
        <v>44977</v>
      </c>
      <c r="N23" t="str">
        <f>_xlfn.XLOOKUP(B23,Customer_Master!A:A,Customer_Master!C:C,"Not Found")</f>
        <v>Hyderabad</v>
      </c>
      <c r="O23" t="str">
        <f>_xlfn.XLOOKUP(B23,Customer_Master!A:A,Customer_Master!D:D,"Not Found")</f>
        <v>Business Owner</v>
      </c>
      <c r="P23" t="str">
        <f>_xlfn.XLOOKUP(B23,Customer_Master!A:A,Customer_Master!E:E,"Not Found")</f>
        <v>High</v>
      </c>
      <c r="Q23" t="str" cm="1">
        <f t="array" ref="Q23">_xlfn.IFS(H23&lt;600,"High Risk",H23&lt;=750,"Medium Risk",TRUE,"Low Risk")</f>
        <v>Low Risk</v>
      </c>
    </row>
    <row r="24" spans="1:17" x14ac:dyDescent="0.3">
      <c r="A24" t="s">
        <v>68</v>
      </c>
      <c r="B24" t="s">
        <v>69</v>
      </c>
      <c r="C24">
        <v>29</v>
      </c>
      <c r="D24">
        <v>148777</v>
      </c>
      <c r="E24">
        <v>240746</v>
      </c>
      <c r="F24">
        <v>14.89</v>
      </c>
      <c r="G24">
        <v>24</v>
      </c>
      <c r="H24">
        <v>603</v>
      </c>
      <c r="I24" t="s">
        <v>31</v>
      </c>
      <c r="J24" t="s">
        <v>39</v>
      </c>
      <c r="K24">
        <v>11660</v>
      </c>
      <c r="L24" t="s">
        <v>17</v>
      </c>
      <c r="M24" s="8">
        <v>45555</v>
      </c>
      <c r="N24" t="str">
        <f>_xlfn.XLOOKUP(B24,Customer_Master!A:A,Customer_Master!C:C,"Not Found")</f>
        <v>Mumbai</v>
      </c>
      <c r="O24" t="str">
        <f>_xlfn.XLOOKUP(B24,Customer_Master!A:A,Customer_Master!D:D,"Not Found")</f>
        <v>Business Owner</v>
      </c>
      <c r="P24" t="str">
        <f>_xlfn.XLOOKUP(B24,Customer_Master!A:A,Customer_Master!E:E,"Not Found")</f>
        <v>High</v>
      </c>
      <c r="Q24" t="str" cm="1">
        <f t="array" ref="Q24">_xlfn.IFS(H24&lt;600,"High Risk",H24&lt;=750,"Medium Risk",TRUE,"Low Risk")</f>
        <v>Medium Risk</v>
      </c>
    </row>
    <row r="25" spans="1:17" x14ac:dyDescent="0.3">
      <c r="A25" t="s">
        <v>70</v>
      </c>
      <c r="B25" t="s">
        <v>71</v>
      </c>
      <c r="C25">
        <v>35</v>
      </c>
      <c r="D25">
        <v>162808</v>
      </c>
      <c r="E25">
        <v>1290537</v>
      </c>
      <c r="F25">
        <v>13.13</v>
      </c>
      <c r="G25">
        <v>36</v>
      </c>
      <c r="H25">
        <v>832</v>
      </c>
      <c r="I25" t="s">
        <v>31</v>
      </c>
      <c r="J25" t="s">
        <v>16</v>
      </c>
      <c r="K25">
        <v>43564</v>
      </c>
      <c r="L25" t="s">
        <v>22</v>
      </c>
      <c r="M25" s="8">
        <v>44828</v>
      </c>
      <c r="N25" t="str">
        <f>_xlfn.XLOOKUP(B25,Customer_Master!A:A,Customer_Master!C:C,"Not Found")</f>
        <v>Pune</v>
      </c>
      <c r="O25" t="str">
        <f>_xlfn.XLOOKUP(B25,Customer_Master!A:A,Customer_Master!D:D,"Not Found")</f>
        <v>Salaried</v>
      </c>
      <c r="P25" t="str">
        <f>_xlfn.XLOOKUP(B25,Customer_Master!A:A,Customer_Master!E:E,"Not Found")</f>
        <v>Medium</v>
      </c>
      <c r="Q25" t="str" cm="1">
        <f t="array" ref="Q25">_xlfn.IFS(H25&lt;600,"High Risk",H25&lt;=750,"Medium Risk",TRUE,"Low Risk")</f>
        <v>Low Risk</v>
      </c>
    </row>
    <row r="26" spans="1:17" x14ac:dyDescent="0.3">
      <c r="A26" t="s">
        <v>72</v>
      </c>
      <c r="B26" t="s">
        <v>73</v>
      </c>
      <c r="C26">
        <v>52</v>
      </c>
      <c r="D26">
        <v>195392</v>
      </c>
      <c r="E26">
        <v>1366755</v>
      </c>
      <c r="F26">
        <v>8.58</v>
      </c>
      <c r="G26">
        <v>36</v>
      </c>
      <c r="H26">
        <v>672</v>
      </c>
      <c r="I26" t="s">
        <v>20</v>
      </c>
      <c r="J26" t="s">
        <v>16</v>
      </c>
      <c r="K26">
        <v>43196</v>
      </c>
      <c r="L26" t="s">
        <v>17</v>
      </c>
      <c r="M26" s="8">
        <v>45488</v>
      </c>
      <c r="N26" t="str">
        <f>_xlfn.XLOOKUP(B26,Customer_Master!A:A,Customer_Master!C:C,"Not Found")</f>
        <v>Chennai</v>
      </c>
      <c r="O26" t="str">
        <f>_xlfn.XLOOKUP(B26,Customer_Master!A:A,Customer_Master!D:D,"Not Found")</f>
        <v>Salaried</v>
      </c>
      <c r="P26" t="str">
        <f>_xlfn.XLOOKUP(B26,Customer_Master!A:A,Customer_Master!E:E,"Not Found")</f>
        <v>Medium</v>
      </c>
      <c r="Q26" t="str" cm="1">
        <f t="array" ref="Q26">_xlfn.IFS(H26&lt;600,"High Risk",H26&lt;=750,"Medium Risk",TRUE,"Low Risk")</f>
        <v>Medium Risk</v>
      </c>
    </row>
    <row r="27" spans="1:17" x14ac:dyDescent="0.3">
      <c r="A27" t="s">
        <v>74</v>
      </c>
      <c r="B27" t="s">
        <v>33</v>
      </c>
      <c r="C27">
        <v>54</v>
      </c>
      <c r="D27">
        <v>156623</v>
      </c>
      <c r="E27">
        <v>169490</v>
      </c>
      <c r="F27">
        <v>14.41</v>
      </c>
      <c r="G27">
        <v>240</v>
      </c>
      <c r="H27">
        <v>632</v>
      </c>
      <c r="I27" t="s">
        <v>27</v>
      </c>
      <c r="J27" t="s">
        <v>16</v>
      </c>
      <c r="K27">
        <v>2158</v>
      </c>
      <c r="L27" t="s">
        <v>22</v>
      </c>
      <c r="M27" s="8">
        <v>44664</v>
      </c>
      <c r="N27" t="str">
        <f>_xlfn.XLOOKUP(B27,Customer_Master!A:A,Customer_Master!C:C,"Not Found")</f>
        <v>Bangalore</v>
      </c>
      <c r="O27" t="str">
        <f>_xlfn.XLOOKUP(B27,Customer_Master!A:A,Customer_Master!D:D,"Not Found")</f>
        <v>Salaried</v>
      </c>
      <c r="P27" t="str">
        <f>_xlfn.XLOOKUP(B27,Customer_Master!A:A,Customer_Master!E:E,"Not Found")</f>
        <v>Medium</v>
      </c>
      <c r="Q27" t="str" cm="1">
        <f t="array" ref="Q27">_xlfn.IFS(H27&lt;600,"High Risk",H27&lt;=750,"Medium Risk",TRUE,"Low Risk")</f>
        <v>Medium Risk</v>
      </c>
    </row>
    <row r="28" spans="1:17" x14ac:dyDescent="0.3">
      <c r="A28" t="s">
        <v>75</v>
      </c>
      <c r="B28" t="s">
        <v>76</v>
      </c>
      <c r="C28">
        <v>50</v>
      </c>
      <c r="D28">
        <v>107123</v>
      </c>
      <c r="E28">
        <v>1598000</v>
      </c>
      <c r="F28">
        <v>16.45</v>
      </c>
      <c r="G28">
        <v>12</v>
      </c>
      <c r="H28">
        <v>488</v>
      </c>
      <c r="I28" t="s">
        <v>15</v>
      </c>
      <c r="J28" t="s">
        <v>16</v>
      </c>
      <c r="K28">
        <v>145328</v>
      </c>
      <c r="L28" t="s">
        <v>17</v>
      </c>
      <c r="M28" s="8">
        <v>44957</v>
      </c>
      <c r="N28" t="str">
        <f>_xlfn.XLOOKUP(B28,Customer_Master!A:A,Customer_Master!C:C,"Not Found")</f>
        <v>Pune</v>
      </c>
      <c r="O28" t="str">
        <f>_xlfn.XLOOKUP(B28,Customer_Master!A:A,Customer_Master!D:D,"Not Found")</f>
        <v>Self-Employed</v>
      </c>
      <c r="P28" t="str">
        <f>_xlfn.XLOOKUP(B28,Customer_Master!A:A,Customer_Master!E:E,"Not Found")</f>
        <v>Low</v>
      </c>
      <c r="Q28" t="str" cm="1">
        <f t="array" ref="Q28">_xlfn.IFS(H28&lt;600,"High Risk",H28&lt;=750,"Medium Risk",TRUE,"Low Risk")</f>
        <v>High Risk</v>
      </c>
    </row>
    <row r="29" spans="1:17" x14ac:dyDescent="0.3">
      <c r="A29" t="s">
        <v>77</v>
      </c>
      <c r="B29" t="s">
        <v>78</v>
      </c>
      <c r="C29">
        <v>30</v>
      </c>
      <c r="D29">
        <v>87755</v>
      </c>
      <c r="E29">
        <v>1650979</v>
      </c>
      <c r="F29">
        <v>10.38</v>
      </c>
      <c r="G29">
        <v>24</v>
      </c>
      <c r="H29">
        <v>719</v>
      </c>
      <c r="I29" t="s">
        <v>15</v>
      </c>
      <c r="J29" t="s">
        <v>21</v>
      </c>
      <c r="K29">
        <v>76474</v>
      </c>
      <c r="L29" t="s">
        <v>17</v>
      </c>
      <c r="M29" s="8">
        <v>44710</v>
      </c>
      <c r="N29" t="str">
        <f>_xlfn.XLOOKUP(B29,Customer_Master!A:A,Customer_Master!C:C,"Not Found")</f>
        <v>Mumbai</v>
      </c>
      <c r="O29" t="str">
        <f>_xlfn.XLOOKUP(B29,Customer_Master!A:A,Customer_Master!D:D,"Not Found")</f>
        <v>Self-Employed</v>
      </c>
      <c r="P29" t="str">
        <f>_xlfn.XLOOKUP(B29,Customer_Master!A:A,Customer_Master!E:E,"Not Found")</f>
        <v>High</v>
      </c>
      <c r="Q29" t="str" cm="1">
        <f t="array" ref="Q29">_xlfn.IFS(H29&lt;600,"High Risk",H29&lt;=750,"Medium Risk",TRUE,"Low Risk")</f>
        <v>Medium Risk</v>
      </c>
    </row>
    <row r="30" spans="1:17" x14ac:dyDescent="0.3">
      <c r="A30" t="s">
        <v>79</v>
      </c>
      <c r="B30" t="s">
        <v>80</v>
      </c>
      <c r="C30">
        <v>57</v>
      </c>
      <c r="D30">
        <v>161638</v>
      </c>
      <c r="E30">
        <v>788928</v>
      </c>
      <c r="F30">
        <v>16.5</v>
      </c>
      <c r="G30">
        <v>12</v>
      </c>
      <c r="H30">
        <v>616</v>
      </c>
      <c r="I30" t="s">
        <v>15</v>
      </c>
      <c r="J30" t="s">
        <v>16</v>
      </c>
      <c r="K30">
        <v>71767</v>
      </c>
      <c r="L30" t="s">
        <v>22</v>
      </c>
      <c r="M30" s="8">
        <v>45086</v>
      </c>
      <c r="N30" t="str">
        <f>_xlfn.XLOOKUP(B30,Customer_Master!A:A,Customer_Master!C:C,"Not Found")</f>
        <v>Pune</v>
      </c>
      <c r="O30" t="str">
        <f>_xlfn.XLOOKUP(B30,Customer_Master!A:A,Customer_Master!D:D,"Not Found")</f>
        <v>Business Owner</v>
      </c>
      <c r="P30" t="str">
        <f>_xlfn.XLOOKUP(B30,Customer_Master!A:A,Customer_Master!E:E,"Not Found")</f>
        <v>High</v>
      </c>
      <c r="Q30" t="str" cm="1">
        <f t="array" ref="Q30">_xlfn.IFS(H30&lt;600,"High Risk",H30&lt;=750,"Medium Risk",TRUE,"Low Risk")</f>
        <v>Medium Risk</v>
      </c>
    </row>
    <row r="31" spans="1:17" x14ac:dyDescent="0.3">
      <c r="A31" t="s">
        <v>81</v>
      </c>
      <c r="B31" t="s">
        <v>82</v>
      </c>
      <c r="C31">
        <v>32</v>
      </c>
      <c r="D31">
        <v>91357</v>
      </c>
      <c r="E31">
        <v>612701</v>
      </c>
      <c r="F31">
        <v>15.45</v>
      </c>
      <c r="G31">
        <v>180</v>
      </c>
      <c r="H31">
        <v>606</v>
      </c>
      <c r="I31" t="s">
        <v>27</v>
      </c>
      <c r="J31" t="s">
        <v>16</v>
      </c>
      <c r="K31">
        <v>8765</v>
      </c>
      <c r="L31" t="s">
        <v>17</v>
      </c>
      <c r="M31" s="8">
        <v>45166</v>
      </c>
      <c r="N31" t="str">
        <f>_xlfn.XLOOKUP(B31,Customer_Master!A:A,Customer_Master!C:C,"Not Found")</f>
        <v>Pune</v>
      </c>
      <c r="O31" t="str">
        <f>_xlfn.XLOOKUP(B31,Customer_Master!A:A,Customer_Master!D:D,"Not Found")</f>
        <v>Self-Employed</v>
      </c>
      <c r="P31" t="str">
        <f>_xlfn.XLOOKUP(B31,Customer_Master!A:A,Customer_Master!E:E,"Not Found")</f>
        <v>Medium</v>
      </c>
      <c r="Q31" t="str" cm="1">
        <f t="array" ref="Q31">_xlfn.IFS(H31&lt;600,"High Risk",H31&lt;=750,"Medium Risk",TRUE,"Low Risk")</f>
        <v>Medium Risk</v>
      </c>
    </row>
    <row r="32" spans="1:17" x14ac:dyDescent="0.3">
      <c r="A32" t="s">
        <v>83</v>
      </c>
      <c r="B32" t="s">
        <v>84</v>
      </c>
      <c r="C32">
        <v>22</v>
      </c>
      <c r="D32">
        <v>82939</v>
      </c>
      <c r="E32">
        <v>1285240</v>
      </c>
      <c r="F32">
        <v>13.87</v>
      </c>
      <c r="G32">
        <v>180</v>
      </c>
      <c r="H32">
        <v>770</v>
      </c>
      <c r="I32" t="s">
        <v>15</v>
      </c>
      <c r="J32" t="s">
        <v>21</v>
      </c>
      <c r="K32">
        <v>17004</v>
      </c>
      <c r="L32" t="s">
        <v>22</v>
      </c>
      <c r="M32" s="8">
        <v>45430</v>
      </c>
      <c r="N32" t="str">
        <f>_xlfn.XLOOKUP(B32,Customer_Master!A:A,Customer_Master!C:C,"Not Found")</f>
        <v>Delhi</v>
      </c>
      <c r="O32" t="str">
        <f>_xlfn.XLOOKUP(B32,Customer_Master!A:A,Customer_Master!D:D,"Not Found")</f>
        <v>Business Owner</v>
      </c>
      <c r="P32" t="str">
        <f>_xlfn.XLOOKUP(B32,Customer_Master!A:A,Customer_Master!E:E,"Not Found")</f>
        <v>Low</v>
      </c>
      <c r="Q32" t="str" cm="1">
        <f t="array" ref="Q32">_xlfn.IFS(H32&lt;600,"High Risk",H32&lt;=750,"Medium Risk",TRUE,"Low Risk")</f>
        <v>Low Risk</v>
      </c>
    </row>
    <row r="33" spans="1:17" x14ac:dyDescent="0.3">
      <c r="A33" t="s">
        <v>85</v>
      </c>
      <c r="B33" t="s">
        <v>86</v>
      </c>
      <c r="C33">
        <v>57</v>
      </c>
      <c r="D33">
        <v>55345</v>
      </c>
      <c r="E33">
        <v>1024105</v>
      </c>
      <c r="F33">
        <v>9.58</v>
      </c>
      <c r="G33">
        <v>48</v>
      </c>
      <c r="H33">
        <v>693</v>
      </c>
      <c r="I33" t="s">
        <v>31</v>
      </c>
      <c r="J33" t="s">
        <v>16</v>
      </c>
      <c r="K33">
        <v>25768</v>
      </c>
      <c r="L33" t="s">
        <v>17</v>
      </c>
      <c r="M33" s="8">
        <v>44857</v>
      </c>
      <c r="N33" t="str">
        <f>_xlfn.XLOOKUP(B33,Customer_Master!A:A,Customer_Master!C:C,"Not Found")</f>
        <v>Delhi</v>
      </c>
      <c r="O33" t="str">
        <f>_xlfn.XLOOKUP(B33,Customer_Master!A:A,Customer_Master!D:D,"Not Found")</f>
        <v>Business Owner</v>
      </c>
      <c r="P33" t="str">
        <f>_xlfn.XLOOKUP(B33,Customer_Master!A:A,Customer_Master!E:E,"Not Found")</f>
        <v>High</v>
      </c>
      <c r="Q33" t="str" cm="1">
        <f t="array" ref="Q33">_xlfn.IFS(H33&lt;600,"High Risk",H33&lt;=750,"Medium Risk",TRUE,"Low Risk")</f>
        <v>Medium Risk</v>
      </c>
    </row>
    <row r="34" spans="1:17" x14ac:dyDescent="0.3">
      <c r="A34" t="s">
        <v>87</v>
      </c>
      <c r="B34" t="s">
        <v>88</v>
      </c>
      <c r="C34">
        <v>32</v>
      </c>
      <c r="D34">
        <v>39433</v>
      </c>
      <c r="E34">
        <v>421968</v>
      </c>
      <c r="F34">
        <v>9.93</v>
      </c>
      <c r="G34">
        <v>48</v>
      </c>
      <c r="H34">
        <v>503</v>
      </c>
      <c r="I34" t="s">
        <v>27</v>
      </c>
      <c r="J34" t="s">
        <v>16</v>
      </c>
      <c r="K34">
        <v>10688</v>
      </c>
      <c r="L34" t="s">
        <v>34</v>
      </c>
      <c r="M34" s="8">
        <v>45281</v>
      </c>
      <c r="N34" t="str">
        <f>_xlfn.XLOOKUP(B34,Customer_Master!A:A,Customer_Master!C:C,"Not Found")</f>
        <v>Mumbai</v>
      </c>
      <c r="O34" t="str">
        <f>_xlfn.XLOOKUP(B34,Customer_Master!A:A,Customer_Master!D:D,"Not Found")</f>
        <v>Salaried</v>
      </c>
      <c r="P34" t="str">
        <f>_xlfn.XLOOKUP(B34,Customer_Master!A:A,Customer_Master!E:E,"Not Found")</f>
        <v>Low</v>
      </c>
      <c r="Q34" t="str" cm="1">
        <f t="array" ref="Q34">_xlfn.IFS(H34&lt;600,"High Risk",H34&lt;=750,"Medium Risk",TRUE,"Low Risk")</f>
        <v>High Risk</v>
      </c>
    </row>
    <row r="35" spans="1:17" x14ac:dyDescent="0.3">
      <c r="A35" t="s">
        <v>89</v>
      </c>
      <c r="B35" t="s">
        <v>14</v>
      </c>
      <c r="C35">
        <v>38</v>
      </c>
      <c r="D35">
        <v>172713</v>
      </c>
      <c r="E35">
        <v>211692</v>
      </c>
      <c r="F35">
        <v>9.48</v>
      </c>
      <c r="G35">
        <v>48</v>
      </c>
      <c r="H35">
        <v>592</v>
      </c>
      <c r="I35" t="s">
        <v>31</v>
      </c>
      <c r="J35" t="s">
        <v>21</v>
      </c>
      <c r="K35">
        <v>5316</v>
      </c>
      <c r="L35" t="s">
        <v>22</v>
      </c>
      <c r="M35" s="8">
        <v>45035</v>
      </c>
      <c r="N35" t="str">
        <f>_xlfn.XLOOKUP(B35,Customer_Master!A:A,Customer_Master!C:C,"Not Found")</f>
        <v>Hyderabad</v>
      </c>
      <c r="O35" t="str">
        <f>_xlfn.XLOOKUP(B35,Customer_Master!A:A,Customer_Master!D:D,"Not Found")</f>
        <v>Self-Employed</v>
      </c>
      <c r="P35" t="str">
        <f>_xlfn.XLOOKUP(B35,Customer_Master!A:A,Customer_Master!E:E,"Not Found")</f>
        <v>High</v>
      </c>
      <c r="Q35" t="str" cm="1">
        <f t="array" ref="Q35">_xlfn.IFS(H35&lt;600,"High Risk",H35&lt;=750,"Medium Risk",TRUE,"Low Risk")</f>
        <v>High Risk</v>
      </c>
    </row>
    <row r="36" spans="1:17" x14ac:dyDescent="0.3">
      <c r="A36" t="s">
        <v>90</v>
      </c>
      <c r="B36" t="s">
        <v>91</v>
      </c>
      <c r="C36">
        <v>51</v>
      </c>
      <c r="D36">
        <v>114436</v>
      </c>
      <c r="E36">
        <v>1284100</v>
      </c>
      <c r="F36">
        <v>14.04</v>
      </c>
      <c r="G36">
        <v>240</v>
      </c>
      <c r="H36">
        <v>754</v>
      </c>
      <c r="I36" t="s">
        <v>31</v>
      </c>
      <c r="J36" t="s">
        <v>16</v>
      </c>
      <c r="K36">
        <v>16005</v>
      </c>
      <c r="L36" t="s">
        <v>22</v>
      </c>
      <c r="M36" s="8">
        <v>45106</v>
      </c>
      <c r="N36" t="str">
        <f>_xlfn.XLOOKUP(B36,Customer_Master!A:A,Customer_Master!C:C,"Not Found")</f>
        <v>Delhi</v>
      </c>
      <c r="O36" t="str">
        <f>_xlfn.XLOOKUP(B36,Customer_Master!A:A,Customer_Master!D:D,"Not Found")</f>
        <v>Business Owner</v>
      </c>
      <c r="P36" t="str">
        <f>_xlfn.XLOOKUP(B36,Customer_Master!A:A,Customer_Master!E:E,"Not Found")</f>
        <v>Low</v>
      </c>
      <c r="Q36" t="str" cm="1">
        <f t="array" ref="Q36">_xlfn.IFS(H36&lt;600,"High Risk",H36&lt;=750,"Medium Risk",TRUE,"Low Risk")</f>
        <v>Low Risk</v>
      </c>
    </row>
    <row r="37" spans="1:17" x14ac:dyDescent="0.3">
      <c r="A37" t="s">
        <v>92</v>
      </c>
      <c r="B37" t="s">
        <v>93</v>
      </c>
      <c r="C37">
        <v>26</v>
      </c>
      <c r="D37">
        <v>40108</v>
      </c>
      <c r="E37">
        <v>701552</v>
      </c>
      <c r="F37">
        <v>15.46</v>
      </c>
      <c r="G37">
        <v>36</v>
      </c>
      <c r="H37">
        <v>838</v>
      </c>
      <c r="I37" t="s">
        <v>31</v>
      </c>
      <c r="J37" t="s">
        <v>28</v>
      </c>
      <c r="K37">
        <v>24478</v>
      </c>
      <c r="L37" t="s">
        <v>17</v>
      </c>
      <c r="M37" s="8">
        <v>45513</v>
      </c>
      <c r="N37" t="str">
        <f>_xlfn.XLOOKUP(B37,Customer_Master!A:A,Customer_Master!C:C,"Not Found")</f>
        <v>Delhi</v>
      </c>
      <c r="O37" t="str">
        <f>_xlfn.XLOOKUP(B37,Customer_Master!A:A,Customer_Master!D:D,"Not Found")</f>
        <v>Self-Employed</v>
      </c>
      <c r="P37" t="str">
        <f>_xlfn.XLOOKUP(B37,Customer_Master!A:A,Customer_Master!E:E,"Not Found")</f>
        <v>Medium</v>
      </c>
      <c r="Q37" t="str" cm="1">
        <f t="array" ref="Q37">_xlfn.IFS(H37&lt;600,"High Risk",H37&lt;=750,"Medium Risk",TRUE,"Low Risk")</f>
        <v>Low Risk</v>
      </c>
    </row>
    <row r="38" spans="1:17" x14ac:dyDescent="0.3">
      <c r="A38" t="s">
        <v>94</v>
      </c>
      <c r="B38" t="s">
        <v>95</v>
      </c>
      <c r="C38">
        <v>49</v>
      </c>
      <c r="D38">
        <v>37080</v>
      </c>
      <c r="E38">
        <v>468565</v>
      </c>
      <c r="F38">
        <v>12.19</v>
      </c>
      <c r="G38">
        <v>12</v>
      </c>
      <c r="H38">
        <v>734</v>
      </c>
      <c r="I38" t="s">
        <v>27</v>
      </c>
      <c r="J38" t="s">
        <v>28</v>
      </c>
      <c r="K38">
        <v>41673</v>
      </c>
      <c r="L38" t="s">
        <v>22</v>
      </c>
      <c r="M38" s="8">
        <v>44702</v>
      </c>
      <c r="N38" t="str">
        <f>_xlfn.XLOOKUP(B38,Customer_Master!A:A,Customer_Master!C:C,"Not Found")</f>
        <v>Mumbai</v>
      </c>
      <c r="O38" t="str">
        <f>_xlfn.XLOOKUP(B38,Customer_Master!A:A,Customer_Master!D:D,"Not Found")</f>
        <v>Business Owner</v>
      </c>
      <c r="P38" t="str">
        <f>_xlfn.XLOOKUP(B38,Customer_Master!A:A,Customer_Master!E:E,"Not Found")</f>
        <v>Low</v>
      </c>
      <c r="Q38" t="str" cm="1">
        <f t="array" ref="Q38">_xlfn.IFS(H38&lt;600,"High Risk",H38&lt;=750,"Medium Risk",TRUE,"Low Risk")</f>
        <v>Medium Risk</v>
      </c>
    </row>
    <row r="39" spans="1:17" x14ac:dyDescent="0.3">
      <c r="A39" t="s">
        <v>96</v>
      </c>
      <c r="B39" t="s">
        <v>97</v>
      </c>
      <c r="C39">
        <v>59</v>
      </c>
      <c r="D39">
        <v>152134</v>
      </c>
      <c r="E39">
        <v>352863</v>
      </c>
      <c r="F39">
        <v>11.68</v>
      </c>
      <c r="G39">
        <v>36</v>
      </c>
      <c r="H39">
        <v>569</v>
      </c>
      <c r="I39" t="s">
        <v>27</v>
      </c>
      <c r="J39" t="s">
        <v>39</v>
      </c>
      <c r="K39">
        <v>11666</v>
      </c>
      <c r="L39" t="s">
        <v>22</v>
      </c>
      <c r="M39" s="8">
        <v>45484</v>
      </c>
      <c r="N39" t="str">
        <f>_xlfn.XLOOKUP(B39,Customer_Master!A:A,Customer_Master!C:C,"Not Found")</f>
        <v>Chennai</v>
      </c>
      <c r="O39" t="str">
        <f>_xlfn.XLOOKUP(B39,Customer_Master!A:A,Customer_Master!D:D,"Not Found")</f>
        <v>Business Owner</v>
      </c>
      <c r="P39" t="str">
        <f>_xlfn.XLOOKUP(B39,Customer_Master!A:A,Customer_Master!E:E,"Not Found")</f>
        <v>High</v>
      </c>
      <c r="Q39" t="str" cm="1">
        <f t="array" ref="Q39">_xlfn.IFS(H39&lt;600,"High Risk",H39&lt;=750,"Medium Risk",TRUE,"Low Risk")</f>
        <v>High Risk</v>
      </c>
    </row>
    <row r="40" spans="1:17" x14ac:dyDescent="0.3">
      <c r="A40" t="s">
        <v>98</v>
      </c>
      <c r="B40" t="s">
        <v>99</v>
      </c>
      <c r="C40">
        <v>53</v>
      </c>
      <c r="D40">
        <v>28153</v>
      </c>
      <c r="E40">
        <v>557111</v>
      </c>
      <c r="F40">
        <v>11.45</v>
      </c>
      <c r="G40">
        <v>36</v>
      </c>
      <c r="H40">
        <v>540</v>
      </c>
      <c r="I40" t="s">
        <v>20</v>
      </c>
      <c r="J40" t="s">
        <v>21</v>
      </c>
      <c r="K40">
        <v>18358</v>
      </c>
      <c r="L40" t="s">
        <v>22</v>
      </c>
      <c r="M40" s="8">
        <v>45323</v>
      </c>
      <c r="N40" t="str">
        <f>_xlfn.XLOOKUP(B40,Customer_Master!A:A,Customer_Master!C:C,"Not Found")</f>
        <v>Delhi</v>
      </c>
      <c r="O40" t="str">
        <f>_xlfn.XLOOKUP(B40,Customer_Master!A:A,Customer_Master!D:D,"Not Found")</f>
        <v>Self-Employed</v>
      </c>
      <c r="P40" t="str">
        <f>_xlfn.XLOOKUP(B40,Customer_Master!A:A,Customer_Master!E:E,"Not Found")</f>
        <v>High</v>
      </c>
      <c r="Q40" t="str" cm="1">
        <f t="array" ref="Q40">_xlfn.IFS(H40&lt;600,"High Risk",H40&lt;=750,"Medium Risk",TRUE,"Low Risk")</f>
        <v>High Risk</v>
      </c>
    </row>
    <row r="41" spans="1:17" x14ac:dyDescent="0.3">
      <c r="A41" t="s">
        <v>100</v>
      </c>
      <c r="B41" t="s">
        <v>76</v>
      </c>
      <c r="C41">
        <v>49</v>
      </c>
      <c r="D41">
        <v>141002</v>
      </c>
      <c r="E41">
        <v>107787</v>
      </c>
      <c r="F41">
        <v>11.47</v>
      </c>
      <c r="G41">
        <v>48</v>
      </c>
      <c r="H41">
        <v>554</v>
      </c>
      <c r="I41" t="s">
        <v>20</v>
      </c>
      <c r="J41" t="s">
        <v>21</v>
      </c>
      <c r="K41">
        <v>2810</v>
      </c>
      <c r="L41" t="s">
        <v>34</v>
      </c>
      <c r="M41" s="8">
        <v>45370</v>
      </c>
      <c r="N41" t="str">
        <f>_xlfn.XLOOKUP(B41,Customer_Master!A:A,Customer_Master!C:C,"Not Found")</f>
        <v>Pune</v>
      </c>
      <c r="O41" t="str">
        <f>_xlfn.XLOOKUP(B41,Customer_Master!A:A,Customer_Master!D:D,"Not Found")</f>
        <v>Self-Employed</v>
      </c>
      <c r="P41" t="str">
        <f>_xlfn.XLOOKUP(B41,Customer_Master!A:A,Customer_Master!E:E,"Not Found")</f>
        <v>Low</v>
      </c>
      <c r="Q41" t="str" cm="1">
        <f t="array" ref="Q41">_xlfn.IFS(H41&lt;600,"High Risk",H41&lt;=750,"Medium Risk",TRUE,"Low Risk")</f>
        <v>High Risk</v>
      </c>
    </row>
    <row r="42" spans="1:17" x14ac:dyDescent="0.3">
      <c r="A42" t="s">
        <v>101</v>
      </c>
      <c r="B42" t="s">
        <v>69</v>
      </c>
      <c r="C42">
        <v>41</v>
      </c>
      <c r="D42">
        <v>108994</v>
      </c>
      <c r="E42">
        <v>327707</v>
      </c>
      <c r="F42">
        <v>15.23</v>
      </c>
      <c r="G42">
        <v>36</v>
      </c>
      <c r="H42">
        <v>526</v>
      </c>
      <c r="I42" t="s">
        <v>20</v>
      </c>
      <c r="J42" t="s">
        <v>39</v>
      </c>
      <c r="K42">
        <v>11397</v>
      </c>
      <c r="L42" t="s">
        <v>17</v>
      </c>
      <c r="M42" s="8">
        <v>45525</v>
      </c>
      <c r="N42" t="str">
        <f>_xlfn.XLOOKUP(B42,Customer_Master!A:A,Customer_Master!C:C,"Not Found")</f>
        <v>Mumbai</v>
      </c>
      <c r="O42" t="str">
        <f>_xlfn.XLOOKUP(B42,Customer_Master!A:A,Customer_Master!D:D,"Not Found")</f>
        <v>Business Owner</v>
      </c>
      <c r="P42" t="str">
        <f>_xlfn.XLOOKUP(B42,Customer_Master!A:A,Customer_Master!E:E,"Not Found")</f>
        <v>High</v>
      </c>
      <c r="Q42" t="str" cm="1">
        <f t="array" ref="Q42">_xlfn.IFS(H42&lt;600,"High Risk",H42&lt;=750,"Medium Risk",TRUE,"Low Risk")</f>
        <v>High Risk</v>
      </c>
    </row>
    <row r="43" spans="1:17" x14ac:dyDescent="0.3">
      <c r="A43" t="s">
        <v>102</v>
      </c>
      <c r="B43" t="s">
        <v>103</v>
      </c>
      <c r="C43">
        <v>57</v>
      </c>
      <c r="D43">
        <v>149614</v>
      </c>
      <c r="E43">
        <v>1755735</v>
      </c>
      <c r="F43">
        <v>13.86</v>
      </c>
      <c r="G43">
        <v>24</v>
      </c>
      <c r="H43">
        <v>594</v>
      </c>
      <c r="I43" t="s">
        <v>31</v>
      </c>
      <c r="J43" t="s">
        <v>21</v>
      </c>
      <c r="K43">
        <v>84182</v>
      </c>
      <c r="L43" t="s">
        <v>17</v>
      </c>
      <c r="M43" s="8">
        <v>44572</v>
      </c>
      <c r="N43" t="str">
        <f>_xlfn.XLOOKUP(B43,Customer_Master!A:A,Customer_Master!C:C,"Not Found")</f>
        <v>Bangalore</v>
      </c>
      <c r="O43" t="str">
        <f>_xlfn.XLOOKUP(B43,Customer_Master!A:A,Customer_Master!D:D,"Not Found")</f>
        <v>Salaried</v>
      </c>
      <c r="P43" t="str">
        <f>_xlfn.XLOOKUP(B43,Customer_Master!A:A,Customer_Master!E:E,"Not Found")</f>
        <v>High</v>
      </c>
      <c r="Q43" t="str" cm="1">
        <f t="array" ref="Q43">_xlfn.IFS(H43&lt;600,"High Risk",H43&lt;=750,"Medium Risk",TRUE,"Low Risk")</f>
        <v>High Risk</v>
      </c>
    </row>
    <row r="44" spans="1:17" x14ac:dyDescent="0.3">
      <c r="A44" t="s">
        <v>104</v>
      </c>
      <c r="B44" t="s">
        <v>105</v>
      </c>
      <c r="C44">
        <v>56</v>
      </c>
      <c r="D44">
        <v>69672</v>
      </c>
      <c r="E44">
        <v>822436</v>
      </c>
      <c r="F44">
        <v>10.64</v>
      </c>
      <c r="G44">
        <v>36</v>
      </c>
      <c r="H44">
        <v>801</v>
      </c>
      <c r="I44" t="s">
        <v>31</v>
      </c>
      <c r="J44" t="s">
        <v>28</v>
      </c>
      <c r="K44">
        <v>26786</v>
      </c>
      <c r="L44" t="s">
        <v>22</v>
      </c>
      <c r="M44" s="8">
        <v>45123</v>
      </c>
      <c r="N44" t="str">
        <f>_xlfn.XLOOKUP(B44,Customer_Master!A:A,Customer_Master!C:C,"Not Found")</f>
        <v>Pune</v>
      </c>
      <c r="O44" t="str">
        <f>_xlfn.XLOOKUP(B44,Customer_Master!A:A,Customer_Master!D:D,"Not Found")</f>
        <v>Self-Employed</v>
      </c>
      <c r="P44" t="str">
        <f>_xlfn.XLOOKUP(B44,Customer_Master!A:A,Customer_Master!E:E,"Not Found")</f>
        <v>Low</v>
      </c>
      <c r="Q44" t="str" cm="1">
        <f t="array" ref="Q44">_xlfn.IFS(H44&lt;600,"High Risk",H44&lt;=750,"Medium Risk",TRUE,"Low Risk")</f>
        <v>Low Risk</v>
      </c>
    </row>
    <row r="45" spans="1:17" x14ac:dyDescent="0.3">
      <c r="A45" t="s">
        <v>106</v>
      </c>
      <c r="B45" t="s">
        <v>107</v>
      </c>
      <c r="C45">
        <v>37</v>
      </c>
      <c r="D45">
        <v>73011</v>
      </c>
      <c r="E45">
        <v>653849</v>
      </c>
      <c r="F45">
        <v>7.95</v>
      </c>
      <c r="G45">
        <v>12</v>
      </c>
      <c r="H45">
        <v>685</v>
      </c>
      <c r="I45" t="s">
        <v>27</v>
      </c>
      <c r="J45" t="s">
        <v>16</v>
      </c>
      <c r="K45">
        <v>56862</v>
      </c>
      <c r="L45" t="s">
        <v>22</v>
      </c>
      <c r="M45" s="8">
        <v>45162</v>
      </c>
      <c r="N45" t="str">
        <f>_xlfn.XLOOKUP(B45,Customer_Master!A:A,Customer_Master!C:C,"Not Found")</f>
        <v>Chennai</v>
      </c>
      <c r="O45" t="str">
        <f>_xlfn.XLOOKUP(B45,Customer_Master!A:A,Customer_Master!D:D,"Not Found")</f>
        <v>Self-Employed</v>
      </c>
      <c r="P45" t="str">
        <f>_xlfn.XLOOKUP(B45,Customer_Master!A:A,Customer_Master!E:E,"Not Found")</f>
        <v>Medium</v>
      </c>
      <c r="Q45" t="str" cm="1">
        <f t="array" ref="Q45">_xlfn.IFS(H45&lt;600,"High Risk",H45&lt;=750,"Medium Risk",TRUE,"Low Risk")</f>
        <v>Medium Risk</v>
      </c>
    </row>
    <row r="46" spans="1:17" x14ac:dyDescent="0.3">
      <c r="A46" t="s">
        <v>108</v>
      </c>
      <c r="B46" t="s">
        <v>109</v>
      </c>
      <c r="C46">
        <v>26</v>
      </c>
      <c r="D46">
        <v>96624</v>
      </c>
      <c r="E46">
        <v>1282169</v>
      </c>
      <c r="F46">
        <v>10.67</v>
      </c>
      <c r="G46">
        <v>24</v>
      </c>
      <c r="H46">
        <v>554</v>
      </c>
      <c r="I46" t="s">
        <v>15</v>
      </c>
      <c r="J46" t="s">
        <v>16</v>
      </c>
      <c r="K46">
        <v>59563</v>
      </c>
      <c r="L46" t="s">
        <v>34</v>
      </c>
      <c r="M46" s="8">
        <v>45222</v>
      </c>
      <c r="N46" t="str">
        <f>_xlfn.XLOOKUP(B46,Customer_Master!A:A,Customer_Master!C:C,"Not Found")</f>
        <v>Delhi</v>
      </c>
      <c r="O46" t="str">
        <f>_xlfn.XLOOKUP(B46,Customer_Master!A:A,Customer_Master!D:D,"Not Found")</f>
        <v>Business Owner</v>
      </c>
      <c r="P46" t="str">
        <f>_xlfn.XLOOKUP(B46,Customer_Master!A:A,Customer_Master!E:E,"Not Found")</f>
        <v>High</v>
      </c>
      <c r="Q46" t="str" cm="1">
        <f t="array" ref="Q46">_xlfn.IFS(H46&lt;600,"High Risk",H46&lt;=750,"Medium Risk",TRUE,"Low Risk")</f>
        <v>High Risk</v>
      </c>
    </row>
    <row r="47" spans="1:17" x14ac:dyDescent="0.3">
      <c r="A47" t="s">
        <v>110</v>
      </c>
      <c r="B47" t="s">
        <v>93</v>
      </c>
      <c r="C47">
        <v>34</v>
      </c>
      <c r="D47">
        <v>130361</v>
      </c>
      <c r="E47">
        <v>687223</v>
      </c>
      <c r="F47">
        <v>11.11</v>
      </c>
      <c r="G47">
        <v>240</v>
      </c>
      <c r="H47">
        <v>568</v>
      </c>
      <c r="I47" t="s">
        <v>15</v>
      </c>
      <c r="J47" t="s">
        <v>39</v>
      </c>
      <c r="K47">
        <v>7145</v>
      </c>
      <c r="L47" t="s">
        <v>22</v>
      </c>
      <c r="M47" s="8">
        <v>45095</v>
      </c>
      <c r="N47" t="str">
        <f>_xlfn.XLOOKUP(B47,Customer_Master!A:A,Customer_Master!C:C,"Not Found")</f>
        <v>Delhi</v>
      </c>
      <c r="O47" t="str">
        <f>_xlfn.XLOOKUP(B47,Customer_Master!A:A,Customer_Master!D:D,"Not Found")</f>
        <v>Self-Employed</v>
      </c>
      <c r="P47" t="str">
        <f>_xlfn.XLOOKUP(B47,Customer_Master!A:A,Customer_Master!E:E,"Not Found")</f>
        <v>Medium</v>
      </c>
      <c r="Q47" t="str" cm="1">
        <f t="array" ref="Q47">_xlfn.IFS(H47&lt;600,"High Risk",H47&lt;=750,"Medium Risk",TRUE,"Low Risk")</f>
        <v>High Risk</v>
      </c>
    </row>
    <row r="48" spans="1:17" x14ac:dyDescent="0.3">
      <c r="A48" t="s">
        <v>111</v>
      </c>
      <c r="B48" t="s">
        <v>112</v>
      </c>
      <c r="C48">
        <v>49</v>
      </c>
      <c r="D48">
        <v>151062</v>
      </c>
      <c r="E48">
        <v>408471</v>
      </c>
      <c r="F48">
        <v>14.31</v>
      </c>
      <c r="G48">
        <v>36</v>
      </c>
      <c r="H48">
        <v>779</v>
      </c>
      <c r="I48" t="s">
        <v>20</v>
      </c>
      <c r="J48" t="s">
        <v>16</v>
      </c>
      <c r="K48">
        <v>14022</v>
      </c>
      <c r="L48" t="s">
        <v>22</v>
      </c>
      <c r="M48" s="8">
        <v>44619</v>
      </c>
      <c r="N48" t="str">
        <f>_xlfn.XLOOKUP(B48,Customer_Master!A:A,Customer_Master!C:C,"Not Found")</f>
        <v>Mumbai</v>
      </c>
      <c r="O48" t="str">
        <f>_xlfn.XLOOKUP(B48,Customer_Master!A:A,Customer_Master!D:D,"Not Found")</f>
        <v>Salaried</v>
      </c>
      <c r="P48" t="str">
        <f>_xlfn.XLOOKUP(B48,Customer_Master!A:A,Customer_Master!E:E,"Not Found")</f>
        <v>High</v>
      </c>
      <c r="Q48" t="str" cm="1">
        <f t="array" ref="Q48">_xlfn.IFS(H48&lt;600,"High Risk",H48&lt;=750,"Medium Risk",TRUE,"Low Risk")</f>
        <v>Low Risk</v>
      </c>
    </row>
    <row r="49" spans="1:17" x14ac:dyDescent="0.3">
      <c r="A49" t="s">
        <v>113</v>
      </c>
      <c r="B49" t="s">
        <v>114</v>
      </c>
      <c r="C49">
        <v>56</v>
      </c>
      <c r="D49">
        <v>110085</v>
      </c>
      <c r="E49">
        <v>1087093</v>
      </c>
      <c r="F49">
        <v>13.55</v>
      </c>
      <c r="G49">
        <v>24</v>
      </c>
      <c r="H49">
        <v>804</v>
      </c>
      <c r="I49" t="s">
        <v>27</v>
      </c>
      <c r="J49" t="s">
        <v>16</v>
      </c>
      <c r="K49">
        <v>51964</v>
      </c>
      <c r="L49" t="s">
        <v>22</v>
      </c>
      <c r="M49" s="8">
        <v>45222</v>
      </c>
      <c r="N49" t="str">
        <f>_xlfn.XLOOKUP(B49,Customer_Master!A:A,Customer_Master!C:C,"Not Found")</f>
        <v>Bangalore</v>
      </c>
      <c r="O49" t="str">
        <f>_xlfn.XLOOKUP(B49,Customer_Master!A:A,Customer_Master!D:D,"Not Found")</f>
        <v>Self-Employed</v>
      </c>
      <c r="P49" t="str">
        <f>_xlfn.XLOOKUP(B49,Customer_Master!A:A,Customer_Master!E:E,"Not Found")</f>
        <v>Medium</v>
      </c>
      <c r="Q49" t="str" cm="1">
        <f t="array" ref="Q49">_xlfn.IFS(H49&lt;600,"High Risk",H49&lt;=750,"Medium Risk",TRUE,"Low Risk")</f>
        <v>Low Risk</v>
      </c>
    </row>
    <row r="50" spans="1:17" x14ac:dyDescent="0.3">
      <c r="A50" t="s">
        <v>115</v>
      </c>
      <c r="B50" t="s">
        <v>82</v>
      </c>
      <c r="C50">
        <v>57</v>
      </c>
      <c r="D50">
        <v>108478</v>
      </c>
      <c r="E50">
        <v>1592104</v>
      </c>
      <c r="F50">
        <v>12.61</v>
      </c>
      <c r="G50">
        <v>48</v>
      </c>
      <c r="H50">
        <v>705</v>
      </c>
      <c r="I50" t="s">
        <v>15</v>
      </c>
      <c r="J50" t="s">
        <v>21</v>
      </c>
      <c r="K50">
        <v>42405</v>
      </c>
      <c r="L50" t="s">
        <v>17</v>
      </c>
      <c r="M50" s="8">
        <v>45116</v>
      </c>
      <c r="N50" t="str">
        <f>_xlfn.XLOOKUP(B50,Customer_Master!A:A,Customer_Master!C:C,"Not Found")</f>
        <v>Pune</v>
      </c>
      <c r="O50" t="str">
        <f>_xlfn.XLOOKUP(B50,Customer_Master!A:A,Customer_Master!D:D,"Not Found")</f>
        <v>Self-Employed</v>
      </c>
      <c r="P50" t="str">
        <f>_xlfn.XLOOKUP(B50,Customer_Master!A:A,Customer_Master!E:E,"Not Found")</f>
        <v>Medium</v>
      </c>
      <c r="Q50" t="str" cm="1">
        <f t="array" ref="Q50">_xlfn.IFS(H50&lt;600,"High Risk",H50&lt;=750,"Medium Risk",TRUE,"Low Risk")</f>
        <v>Medium Risk</v>
      </c>
    </row>
    <row r="51" spans="1:17" x14ac:dyDescent="0.3">
      <c r="A51" t="s">
        <v>116</v>
      </c>
      <c r="B51" t="s">
        <v>117</v>
      </c>
      <c r="C51">
        <v>32</v>
      </c>
      <c r="D51">
        <v>129974</v>
      </c>
      <c r="E51">
        <v>1090875</v>
      </c>
      <c r="F51">
        <v>13.74</v>
      </c>
      <c r="G51">
        <v>24</v>
      </c>
      <c r="H51">
        <v>631</v>
      </c>
      <c r="I51" t="s">
        <v>27</v>
      </c>
      <c r="J51" t="s">
        <v>16</v>
      </c>
      <c r="K51">
        <v>52242</v>
      </c>
      <c r="L51" t="s">
        <v>17</v>
      </c>
      <c r="M51" s="8">
        <v>44594</v>
      </c>
      <c r="N51" t="str">
        <f>_xlfn.XLOOKUP(B51,Customer_Master!A:A,Customer_Master!C:C,"Not Found")</f>
        <v>Hyderabad</v>
      </c>
      <c r="O51" t="str">
        <f>_xlfn.XLOOKUP(B51,Customer_Master!A:A,Customer_Master!D:D,"Not Found")</f>
        <v>Business Owner</v>
      </c>
      <c r="P51" t="str">
        <f>_xlfn.XLOOKUP(B51,Customer_Master!A:A,Customer_Master!E:E,"Not Found")</f>
        <v>High</v>
      </c>
      <c r="Q51" t="str" cm="1">
        <f t="array" ref="Q51">_xlfn.IFS(H51&lt;600,"High Risk",H51&lt;=750,"Medium Risk",TRUE,"Low Risk")</f>
        <v>Medium Risk</v>
      </c>
    </row>
    <row r="52" spans="1:17" x14ac:dyDescent="0.3">
      <c r="A52" t="s">
        <v>118</v>
      </c>
      <c r="B52" t="s">
        <v>119</v>
      </c>
      <c r="C52">
        <v>43</v>
      </c>
      <c r="D52">
        <v>153985</v>
      </c>
      <c r="E52">
        <v>1256587</v>
      </c>
      <c r="F52">
        <v>10.84</v>
      </c>
      <c r="G52">
        <v>60</v>
      </c>
      <c r="H52">
        <v>692</v>
      </c>
      <c r="I52" t="s">
        <v>20</v>
      </c>
      <c r="J52" t="s">
        <v>16</v>
      </c>
      <c r="K52">
        <v>27221</v>
      </c>
      <c r="L52" t="s">
        <v>22</v>
      </c>
      <c r="M52" s="8">
        <v>44812</v>
      </c>
      <c r="N52" t="str">
        <f>_xlfn.XLOOKUP(B52,Customer_Master!A:A,Customer_Master!C:C,"Not Found")</f>
        <v>Bangalore</v>
      </c>
      <c r="O52" t="str">
        <f>_xlfn.XLOOKUP(B52,Customer_Master!A:A,Customer_Master!D:D,"Not Found")</f>
        <v>Self-Employed</v>
      </c>
      <c r="P52" t="str">
        <f>_xlfn.XLOOKUP(B52,Customer_Master!A:A,Customer_Master!E:E,"Not Found")</f>
        <v>Medium</v>
      </c>
      <c r="Q52" t="str" cm="1">
        <f t="array" ref="Q52">_xlfn.IFS(H52&lt;600,"High Risk",H52&lt;=750,"Medium Risk",TRUE,"Low Risk")</f>
        <v>Medium Risk</v>
      </c>
    </row>
    <row r="53" spans="1:17" x14ac:dyDescent="0.3">
      <c r="A53" t="s">
        <v>120</v>
      </c>
      <c r="B53" t="s">
        <v>121</v>
      </c>
      <c r="C53">
        <v>24</v>
      </c>
      <c r="D53">
        <v>83460</v>
      </c>
      <c r="E53">
        <v>1738995</v>
      </c>
      <c r="F53">
        <v>16.350000000000001</v>
      </c>
      <c r="G53">
        <v>120</v>
      </c>
      <c r="H53">
        <v>641</v>
      </c>
      <c r="I53" t="s">
        <v>31</v>
      </c>
      <c r="J53" t="s">
        <v>28</v>
      </c>
      <c r="K53">
        <v>29511</v>
      </c>
      <c r="L53" t="s">
        <v>22</v>
      </c>
      <c r="M53" s="8">
        <v>44598</v>
      </c>
      <c r="N53" t="str">
        <f>_xlfn.XLOOKUP(B53,Customer_Master!A:A,Customer_Master!C:C,"Not Found")</f>
        <v>Pune</v>
      </c>
      <c r="O53" t="str">
        <f>_xlfn.XLOOKUP(B53,Customer_Master!A:A,Customer_Master!D:D,"Not Found")</f>
        <v>Salaried</v>
      </c>
      <c r="P53" t="str">
        <f>_xlfn.XLOOKUP(B53,Customer_Master!A:A,Customer_Master!E:E,"Not Found")</f>
        <v>Medium</v>
      </c>
      <c r="Q53" t="str" cm="1">
        <f t="array" ref="Q53">_xlfn.IFS(H53&lt;600,"High Risk",H53&lt;=750,"Medium Risk",TRUE,"Low Risk")</f>
        <v>Medium Risk</v>
      </c>
    </row>
    <row r="54" spans="1:17" x14ac:dyDescent="0.3">
      <c r="A54" t="s">
        <v>122</v>
      </c>
      <c r="B54" t="s">
        <v>123</v>
      </c>
      <c r="C54">
        <v>44</v>
      </c>
      <c r="D54">
        <v>72943</v>
      </c>
      <c r="E54">
        <v>843138</v>
      </c>
      <c r="F54">
        <v>13.93</v>
      </c>
      <c r="G54">
        <v>60</v>
      </c>
      <c r="H54">
        <v>664</v>
      </c>
      <c r="I54" t="s">
        <v>15</v>
      </c>
      <c r="J54" t="s">
        <v>16</v>
      </c>
      <c r="K54">
        <v>19588</v>
      </c>
      <c r="L54" t="s">
        <v>17</v>
      </c>
      <c r="M54" s="8">
        <v>45263</v>
      </c>
      <c r="N54" t="str">
        <f>_xlfn.XLOOKUP(B54,Customer_Master!A:A,Customer_Master!C:C,"Not Found")</f>
        <v>Hyderabad</v>
      </c>
      <c r="O54" t="str">
        <f>_xlfn.XLOOKUP(B54,Customer_Master!A:A,Customer_Master!D:D,"Not Found")</f>
        <v>Self-Employed</v>
      </c>
      <c r="P54" t="str">
        <f>_xlfn.XLOOKUP(B54,Customer_Master!A:A,Customer_Master!E:E,"Not Found")</f>
        <v>Low</v>
      </c>
      <c r="Q54" t="str" cm="1">
        <f t="array" ref="Q54">_xlfn.IFS(H54&lt;600,"High Risk",H54&lt;=750,"Medium Risk",TRUE,"Low Risk")</f>
        <v>Medium Risk</v>
      </c>
    </row>
    <row r="55" spans="1:17" x14ac:dyDescent="0.3">
      <c r="A55" t="s">
        <v>124</v>
      </c>
      <c r="B55" t="s">
        <v>125</v>
      </c>
      <c r="C55">
        <v>32</v>
      </c>
      <c r="D55">
        <v>118460</v>
      </c>
      <c r="E55">
        <v>1697647</v>
      </c>
      <c r="F55">
        <v>12.99</v>
      </c>
      <c r="G55">
        <v>240</v>
      </c>
      <c r="H55">
        <v>597</v>
      </c>
      <c r="I55" t="s">
        <v>31</v>
      </c>
      <c r="J55" t="s">
        <v>16</v>
      </c>
      <c r="K55">
        <v>19877</v>
      </c>
      <c r="L55" t="s">
        <v>22</v>
      </c>
      <c r="M55" s="8">
        <v>45130</v>
      </c>
      <c r="N55" t="str">
        <f>_xlfn.XLOOKUP(B55,Customer_Master!A:A,Customer_Master!C:C,"Not Found")</f>
        <v>Delhi</v>
      </c>
      <c r="O55" t="str">
        <f>_xlfn.XLOOKUP(B55,Customer_Master!A:A,Customer_Master!D:D,"Not Found")</f>
        <v>Salaried</v>
      </c>
      <c r="P55" t="str">
        <f>_xlfn.XLOOKUP(B55,Customer_Master!A:A,Customer_Master!E:E,"Not Found")</f>
        <v>Low</v>
      </c>
      <c r="Q55" t="str" cm="1">
        <f t="array" ref="Q55">_xlfn.IFS(H55&lt;600,"High Risk",H55&lt;=750,"Medium Risk",TRUE,"Low Risk")</f>
        <v>High Risk</v>
      </c>
    </row>
    <row r="56" spans="1:17" x14ac:dyDescent="0.3">
      <c r="A56" t="s">
        <v>126</v>
      </c>
      <c r="B56" t="s">
        <v>127</v>
      </c>
      <c r="C56">
        <v>24</v>
      </c>
      <c r="D56">
        <v>37954</v>
      </c>
      <c r="E56">
        <v>1623049</v>
      </c>
      <c r="F56">
        <v>15.86</v>
      </c>
      <c r="G56">
        <v>48</v>
      </c>
      <c r="H56">
        <v>451</v>
      </c>
      <c r="I56" t="s">
        <v>31</v>
      </c>
      <c r="J56" t="s">
        <v>28</v>
      </c>
      <c r="K56">
        <v>45881</v>
      </c>
      <c r="L56" t="s">
        <v>34</v>
      </c>
      <c r="M56" s="8">
        <v>45038</v>
      </c>
      <c r="N56" t="str">
        <f>_xlfn.XLOOKUP(B56,Customer_Master!A:A,Customer_Master!C:C,"Not Found")</f>
        <v>Bangalore</v>
      </c>
      <c r="O56" t="str">
        <f>_xlfn.XLOOKUP(B56,Customer_Master!A:A,Customer_Master!D:D,"Not Found")</f>
        <v>Salaried</v>
      </c>
      <c r="P56" t="str">
        <f>_xlfn.XLOOKUP(B56,Customer_Master!A:A,Customer_Master!E:E,"Not Found")</f>
        <v>Medium</v>
      </c>
      <c r="Q56" t="str" cm="1">
        <f t="array" ref="Q56">_xlfn.IFS(H56&lt;600,"High Risk",H56&lt;=750,"Medium Risk",TRUE,"Low Risk")</f>
        <v>High Risk</v>
      </c>
    </row>
    <row r="57" spans="1:17" x14ac:dyDescent="0.3">
      <c r="A57" t="s">
        <v>128</v>
      </c>
      <c r="B57" t="s">
        <v>129</v>
      </c>
      <c r="C57">
        <v>48</v>
      </c>
      <c r="D57">
        <v>121176</v>
      </c>
      <c r="E57">
        <v>113713</v>
      </c>
      <c r="F57">
        <v>16.350000000000001</v>
      </c>
      <c r="G57">
        <v>60</v>
      </c>
      <c r="H57">
        <v>656</v>
      </c>
      <c r="I57" t="s">
        <v>15</v>
      </c>
      <c r="J57" t="s">
        <v>16</v>
      </c>
      <c r="K57">
        <v>2786</v>
      </c>
      <c r="L57" t="s">
        <v>22</v>
      </c>
      <c r="M57" s="8">
        <v>44920</v>
      </c>
      <c r="N57" t="str">
        <f>_xlfn.XLOOKUP(B57,Customer_Master!A:A,Customer_Master!C:C,"Not Found")</f>
        <v>Mumbai</v>
      </c>
      <c r="O57" t="str">
        <f>_xlfn.XLOOKUP(B57,Customer_Master!A:A,Customer_Master!D:D,"Not Found")</f>
        <v>Business Owner</v>
      </c>
      <c r="P57" t="str">
        <f>_xlfn.XLOOKUP(B57,Customer_Master!A:A,Customer_Master!E:E,"Not Found")</f>
        <v>Medium</v>
      </c>
      <c r="Q57" t="str" cm="1">
        <f t="array" ref="Q57">_xlfn.IFS(H57&lt;600,"High Risk",H57&lt;=750,"Medium Risk",TRUE,"Low Risk")</f>
        <v>Medium Risk</v>
      </c>
    </row>
    <row r="58" spans="1:17" x14ac:dyDescent="0.3">
      <c r="A58" t="s">
        <v>130</v>
      </c>
      <c r="B58" t="s">
        <v>131</v>
      </c>
      <c r="C58">
        <v>32</v>
      </c>
      <c r="D58">
        <v>83634</v>
      </c>
      <c r="E58">
        <v>1950163</v>
      </c>
      <c r="F58">
        <v>14.79</v>
      </c>
      <c r="G58">
        <v>180</v>
      </c>
      <c r="H58">
        <v>534</v>
      </c>
      <c r="I58" t="s">
        <v>15</v>
      </c>
      <c r="J58" t="s">
        <v>28</v>
      </c>
      <c r="K58">
        <v>27014</v>
      </c>
      <c r="L58" t="s">
        <v>17</v>
      </c>
      <c r="M58" s="8">
        <v>45038</v>
      </c>
      <c r="N58" t="str">
        <f>_xlfn.XLOOKUP(B58,Customer_Master!A:A,Customer_Master!C:C,"Not Found")</f>
        <v>Pune</v>
      </c>
      <c r="O58" t="str">
        <f>_xlfn.XLOOKUP(B58,Customer_Master!A:A,Customer_Master!D:D,"Not Found")</f>
        <v>Self-Employed</v>
      </c>
      <c r="P58" t="str">
        <f>_xlfn.XLOOKUP(B58,Customer_Master!A:A,Customer_Master!E:E,"Not Found")</f>
        <v>Medium</v>
      </c>
      <c r="Q58" t="str" cm="1">
        <f t="array" ref="Q58">_xlfn.IFS(H58&lt;600,"High Risk",H58&lt;=750,"Medium Risk",TRUE,"Low Risk")</f>
        <v>High Risk</v>
      </c>
    </row>
    <row r="59" spans="1:17" x14ac:dyDescent="0.3">
      <c r="A59" t="s">
        <v>132</v>
      </c>
      <c r="B59" t="s">
        <v>133</v>
      </c>
      <c r="C59">
        <v>31</v>
      </c>
      <c r="D59">
        <v>146154</v>
      </c>
      <c r="E59">
        <v>928877</v>
      </c>
      <c r="F59">
        <v>11.52</v>
      </c>
      <c r="G59">
        <v>240</v>
      </c>
      <c r="H59">
        <v>461</v>
      </c>
      <c r="I59" t="s">
        <v>31</v>
      </c>
      <c r="J59" t="s">
        <v>21</v>
      </c>
      <c r="K59">
        <v>9919</v>
      </c>
      <c r="L59" t="s">
        <v>17</v>
      </c>
      <c r="M59" s="8">
        <v>44886</v>
      </c>
      <c r="N59" t="str">
        <f>_xlfn.XLOOKUP(B59,Customer_Master!A:A,Customer_Master!C:C,"Not Found")</f>
        <v>Mumbai</v>
      </c>
      <c r="O59" t="str">
        <f>_xlfn.XLOOKUP(B59,Customer_Master!A:A,Customer_Master!D:D,"Not Found")</f>
        <v>Salaried</v>
      </c>
      <c r="P59" t="str">
        <f>_xlfn.XLOOKUP(B59,Customer_Master!A:A,Customer_Master!E:E,"Not Found")</f>
        <v>Medium</v>
      </c>
      <c r="Q59" t="str" cm="1">
        <f t="array" ref="Q59">_xlfn.IFS(H59&lt;600,"High Risk",H59&lt;=750,"Medium Risk",TRUE,"Low Risk")</f>
        <v>High Risk</v>
      </c>
    </row>
    <row r="60" spans="1:17" x14ac:dyDescent="0.3">
      <c r="A60" t="s">
        <v>134</v>
      </c>
      <c r="B60" t="s">
        <v>135</v>
      </c>
      <c r="C60">
        <v>42</v>
      </c>
      <c r="D60">
        <v>49370</v>
      </c>
      <c r="E60">
        <v>1068679</v>
      </c>
      <c r="F60">
        <v>11.6</v>
      </c>
      <c r="G60">
        <v>180</v>
      </c>
      <c r="H60">
        <v>796</v>
      </c>
      <c r="I60" t="s">
        <v>15</v>
      </c>
      <c r="J60" t="s">
        <v>28</v>
      </c>
      <c r="K60">
        <v>12552</v>
      </c>
      <c r="L60" t="s">
        <v>22</v>
      </c>
      <c r="M60" s="8">
        <v>45287</v>
      </c>
      <c r="N60" t="str">
        <f>_xlfn.XLOOKUP(B60,Customer_Master!A:A,Customer_Master!C:C,"Not Found")</f>
        <v>Bangalore</v>
      </c>
      <c r="O60" t="str">
        <f>_xlfn.XLOOKUP(B60,Customer_Master!A:A,Customer_Master!D:D,"Not Found")</f>
        <v>Self-Employed</v>
      </c>
      <c r="P60" t="str">
        <f>_xlfn.XLOOKUP(B60,Customer_Master!A:A,Customer_Master!E:E,"Not Found")</f>
        <v>Medium</v>
      </c>
      <c r="Q60" t="str" cm="1">
        <f t="array" ref="Q60">_xlfn.IFS(H60&lt;600,"High Risk",H60&lt;=750,"Medium Risk",TRUE,"Low Risk")</f>
        <v>Low Risk</v>
      </c>
    </row>
    <row r="61" spans="1:17" x14ac:dyDescent="0.3">
      <c r="A61" t="s">
        <v>136</v>
      </c>
      <c r="B61" t="s">
        <v>119</v>
      </c>
      <c r="C61">
        <v>34</v>
      </c>
      <c r="D61">
        <v>166800</v>
      </c>
      <c r="E61">
        <v>1553080</v>
      </c>
      <c r="F61">
        <v>11.49</v>
      </c>
      <c r="G61">
        <v>120</v>
      </c>
      <c r="H61">
        <v>763</v>
      </c>
      <c r="I61" t="s">
        <v>15</v>
      </c>
      <c r="J61" t="s">
        <v>21</v>
      </c>
      <c r="K61">
        <v>21827</v>
      </c>
      <c r="L61" t="s">
        <v>17</v>
      </c>
      <c r="M61" s="8">
        <v>44823</v>
      </c>
      <c r="N61" t="str">
        <f>_xlfn.XLOOKUP(B61,Customer_Master!A:A,Customer_Master!C:C,"Not Found")</f>
        <v>Bangalore</v>
      </c>
      <c r="O61" t="str">
        <f>_xlfn.XLOOKUP(B61,Customer_Master!A:A,Customer_Master!D:D,"Not Found")</f>
        <v>Self-Employed</v>
      </c>
      <c r="P61" t="str">
        <f>_xlfn.XLOOKUP(B61,Customer_Master!A:A,Customer_Master!E:E,"Not Found")</f>
        <v>Medium</v>
      </c>
      <c r="Q61" t="str" cm="1">
        <f t="array" ref="Q61">_xlfn.IFS(H61&lt;600,"High Risk",H61&lt;=750,"Medium Risk",TRUE,"Low Risk")</f>
        <v>Low Risk</v>
      </c>
    </row>
    <row r="62" spans="1:17" x14ac:dyDescent="0.3">
      <c r="A62" t="s">
        <v>137</v>
      </c>
      <c r="B62" t="s">
        <v>53</v>
      </c>
      <c r="C62">
        <v>43</v>
      </c>
      <c r="D62">
        <v>103869</v>
      </c>
      <c r="E62">
        <v>735401</v>
      </c>
      <c r="F62">
        <v>14.35</v>
      </c>
      <c r="G62">
        <v>240</v>
      </c>
      <c r="H62">
        <v>801</v>
      </c>
      <c r="I62" t="s">
        <v>31</v>
      </c>
      <c r="J62" t="s">
        <v>28</v>
      </c>
      <c r="K62">
        <v>9332</v>
      </c>
      <c r="L62" t="s">
        <v>17</v>
      </c>
      <c r="M62" s="8">
        <v>45420</v>
      </c>
      <c r="N62" t="str">
        <f>_xlfn.XLOOKUP(B62,Customer_Master!A:A,Customer_Master!C:C,"Not Found")</f>
        <v>Bangalore</v>
      </c>
      <c r="O62" t="str">
        <f>_xlfn.XLOOKUP(B62,Customer_Master!A:A,Customer_Master!D:D,"Not Found")</f>
        <v>Salaried</v>
      </c>
      <c r="P62" t="str">
        <f>_xlfn.XLOOKUP(B62,Customer_Master!A:A,Customer_Master!E:E,"Not Found")</f>
        <v>Medium</v>
      </c>
      <c r="Q62" t="str" cm="1">
        <f t="array" ref="Q62">_xlfn.IFS(H62&lt;600,"High Risk",H62&lt;=750,"Medium Risk",TRUE,"Low Risk")</f>
        <v>Low Risk</v>
      </c>
    </row>
    <row r="63" spans="1:17" x14ac:dyDescent="0.3">
      <c r="A63" t="s">
        <v>138</v>
      </c>
      <c r="B63" t="s">
        <v>139</v>
      </c>
      <c r="C63">
        <v>55</v>
      </c>
      <c r="D63">
        <v>81883</v>
      </c>
      <c r="E63">
        <v>1136919</v>
      </c>
      <c r="F63">
        <v>15.59</v>
      </c>
      <c r="G63">
        <v>48</v>
      </c>
      <c r="H63">
        <v>717</v>
      </c>
      <c r="I63" t="s">
        <v>31</v>
      </c>
      <c r="J63" t="s">
        <v>28</v>
      </c>
      <c r="K63">
        <v>31982</v>
      </c>
      <c r="L63" t="s">
        <v>22</v>
      </c>
      <c r="M63" s="8">
        <v>44729</v>
      </c>
      <c r="N63" t="str">
        <f>_xlfn.XLOOKUP(B63,Customer_Master!A:A,Customer_Master!C:C,"Not Found")</f>
        <v>Mumbai</v>
      </c>
      <c r="O63" t="str">
        <f>_xlfn.XLOOKUP(B63,Customer_Master!A:A,Customer_Master!D:D,"Not Found")</f>
        <v>Self-Employed</v>
      </c>
      <c r="P63" t="str">
        <f>_xlfn.XLOOKUP(B63,Customer_Master!A:A,Customer_Master!E:E,"Not Found")</f>
        <v>Low</v>
      </c>
      <c r="Q63" t="str" cm="1">
        <f t="array" ref="Q63">_xlfn.IFS(H63&lt;600,"High Risk",H63&lt;=750,"Medium Risk",TRUE,"Low Risk")</f>
        <v>Medium Risk</v>
      </c>
    </row>
    <row r="64" spans="1:17" x14ac:dyDescent="0.3">
      <c r="A64" t="s">
        <v>140</v>
      </c>
      <c r="B64" t="s">
        <v>141</v>
      </c>
      <c r="C64">
        <v>55</v>
      </c>
      <c r="D64">
        <v>169332</v>
      </c>
      <c r="E64">
        <v>1285387</v>
      </c>
      <c r="F64">
        <v>9.0500000000000007</v>
      </c>
      <c r="G64">
        <v>120</v>
      </c>
      <c r="H64">
        <v>769</v>
      </c>
      <c r="I64" t="s">
        <v>27</v>
      </c>
      <c r="J64" t="s">
        <v>21</v>
      </c>
      <c r="K64">
        <v>16318</v>
      </c>
      <c r="L64" t="s">
        <v>17</v>
      </c>
      <c r="M64" s="8">
        <v>45233</v>
      </c>
      <c r="N64" t="str">
        <f>_xlfn.XLOOKUP(B64,Customer_Master!A:A,Customer_Master!C:C,"Not Found")</f>
        <v>Delhi</v>
      </c>
      <c r="O64" t="str">
        <f>_xlfn.XLOOKUP(B64,Customer_Master!A:A,Customer_Master!D:D,"Not Found")</f>
        <v>Self-Employed</v>
      </c>
      <c r="P64" t="str">
        <f>_xlfn.XLOOKUP(B64,Customer_Master!A:A,Customer_Master!E:E,"Not Found")</f>
        <v>Low</v>
      </c>
      <c r="Q64" t="str" cm="1">
        <f t="array" ref="Q64">_xlfn.IFS(H64&lt;600,"High Risk",H64&lt;=750,"Medium Risk",TRUE,"Low Risk")</f>
        <v>Low Risk</v>
      </c>
    </row>
    <row r="65" spans="1:17" x14ac:dyDescent="0.3">
      <c r="A65" t="s">
        <v>142</v>
      </c>
      <c r="B65" t="s">
        <v>19</v>
      </c>
      <c r="C65">
        <v>39</v>
      </c>
      <c r="D65">
        <v>54385</v>
      </c>
      <c r="E65">
        <v>421149</v>
      </c>
      <c r="F65">
        <v>12.51</v>
      </c>
      <c r="G65">
        <v>48</v>
      </c>
      <c r="H65">
        <v>511</v>
      </c>
      <c r="I65" t="s">
        <v>31</v>
      </c>
      <c r="J65" t="s">
        <v>16</v>
      </c>
      <c r="K65">
        <v>11196</v>
      </c>
      <c r="L65" t="s">
        <v>22</v>
      </c>
      <c r="M65" s="8">
        <v>44642</v>
      </c>
      <c r="N65" t="str">
        <f>_xlfn.XLOOKUP(B65,Customer_Master!A:A,Customer_Master!C:C,"Not Found")</f>
        <v>Chennai</v>
      </c>
      <c r="O65" t="str">
        <f>_xlfn.XLOOKUP(B65,Customer_Master!A:A,Customer_Master!D:D,"Not Found")</f>
        <v>Salaried</v>
      </c>
      <c r="P65" t="str">
        <f>_xlfn.XLOOKUP(B65,Customer_Master!A:A,Customer_Master!E:E,"Not Found")</f>
        <v>High</v>
      </c>
      <c r="Q65" t="str" cm="1">
        <f t="array" ref="Q65">_xlfn.IFS(H65&lt;600,"High Risk",H65&lt;=750,"Medium Risk",TRUE,"Low Risk")</f>
        <v>High Risk</v>
      </c>
    </row>
    <row r="66" spans="1:17" x14ac:dyDescent="0.3">
      <c r="A66" t="s">
        <v>143</v>
      </c>
      <c r="B66" t="s">
        <v>144</v>
      </c>
      <c r="C66">
        <v>24</v>
      </c>
      <c r="D66">
        <v>48895</v>
      </c>
      <c r="E66">
        <v>1922049</v>
      </c>
      <c r="F66">
        <v>9.5399999999999991</v>
      </c>
      <c r="G66">
        <v>180</v>
      </c>
      <c r="H66">
        <v>482</v>
      </c>
      <c r="I66" t="s">
        <v>20</v>
      </c>
      <c r="J66" t="s">
        <v>39</v>
      </c>
      <c r="K66">
        <v>20117</v>
      </c>
      <c r="L66" t="s">
        <v>34</v>
      </c>
      <c r="M66" s="8">
        <v>45529</v>
      </c>
      <c r="N66" t="str">
        <f>_xlfn.XLOOKUP(B66,Customer_Master!A:A,Customer_Master!C:C,"Not Found")</f>
        <v>Chennai</v>
      </c>
      <c r="O66" t="str">
        <f>_xlfn.XLOOKUP(B66,Customer_Master!A:A,Customer_Master!D:D,"Not Found")</f>
        <v>Salaried</v>
      </c>
      <c r="P66" t="str">
        <f>_xlfn.XLOOKUP(B66,Customer_Master!A:A,Customer_Master!E:E,"Not Found")</f>
        <v>Low</v>
      </c>
      <c r="Q66" t="str" cm="1">
        <f t="array" ref="Q66">_xlfn.IFS(H66&lt;600,"High Risk",H66&lt;=750,"Medium Risk",TRUE,"Low Risk")</f>
        <v>High Risk</v>
      </c>
    </row>
    <row r="67" spans="1:17" x14ac:dyDescent="0.3">
      <c r="A67" t="s">
        <v>145</v>
      </c>
      <c r="B67" t="s">
        <v>146</v>
      </c>
      <c r="C67">
        <v>29</v>
      </c>
      <c r="D67">
        <v>106437</v>
      </c>
      <c r="E67">
        <v>271973</v>
      </c>
      <c r="F67">
        <v>12.11</v>
      </c>
      <c r="G67">
        <v>36</v>
      </c>
      <c r="H67">
        <v>693</v>
      </c>
      <c r="I67" t="s">
        <v>27</v>
      </c>
      <c r="J67" t="s">
        <v>21</v>
      </c>
      <c r="K67">
        <v>9048</v>
      </c>
      <c r="L67" t="s">
        <v>22</v>
      </c>
      <c r="M67" s="8">
        <v>45164</v>
      </c>
      <c r="N67" t="str">
        <f>_xlfn.XLOOKUP(B67,Customer_Master!A:A,Customer_Master!C:C,"Not Found")</f>
        <v>Mumbai</v>
      </c>
      <c r="O67" t="str">
        <f>_xlfn.XLOOKUP(B67,Customer_Master!A:A,Customer_Master!D:D,"Not Found")</f>
        <v>Salaried</v>
      </c>
      <c r="P67" t="str">
        <f>_xlfn.XLOOKUP(B67,Customer_Master!A:A,Customer_Master!E:E,"Not Found")</f>
        <v>Low</v>
      </c>
      <c r="Q67" t="str" cm="1">
        <f t="array" ref="Q67">_xlfn.IFS(H67&lt;600,"High Risk",H67&lt;=750,"Medium Risk",TRUE,"Low Risk")</f>
        <v>Medium Risk</v>
      </c>
    </row>
    <row r="68" spans="1:17" x14ac:dyDescent="0.3">
      <c r="A68" t="s">
        <v>147</v>
      </c>
      <c r="B68" t="s">
        <v>148</v>
      </c>
      <c r="C68">
        <v>36</v>
      </c>
      <c r="D68">
        <v>74709</v>
      </c>
      <c r="E68">
        <v>1897861</v>
      </c>
      <c r="F68">
        <v>8.91</v>
      </c>
      <c r="G68">
        <v>48</v>
      </c>
      <c r="H68">
        <v>694</v>
      </c>
      <c r="I68" t="s">
        <v>20</v>
      </c>
      <c r="J68" t="s">
        <v>16</v>
      </c>
      <c r="K68">
        <v>47147</v>
      </c>
      <c r="L68" t="s">
        <v>17</v>
      </c>
      <c r="M68" s="8">
        <v>44948</v>
      </c>
      <c r="N68" t="str">
        <f>_xlfn.XLOOKUP(B68,Customer_Master!A:A,Customer_Master!C:C,"Not Found")</f>
        <v>Chennai</v>
      </c>
      <c r="O68" t="str">
        <f>_xlfn.XLOOKUP(B68,Customer_Master!A:A,Customer_Master!D:D,"Not Found")</f>
        <v>Self-Employed</v>
      </c>
      <c r="P68" t="str">
        <f>_xlfn.XLOOKUP(B68,Customer_Master!A:A,Customer_Master!E:E,"Not Found")</f>
        <v>Low</v>
      </c>
      <c r="Q68" t="str" cm="1">
        <f t="array" ref="Q68">_xlfn.IFS(H68&lt;600,"High Risk",H68&lt;=750,"Medium Risk",TRUE,"Low Risk")</f>
        <v>Medium Risk</v>
      </c>
    </row>
    <row r="69" spans="1:17" x14ac:dyDescent="0.3">
      <c r="A69" t="s">
        <v>149</v>
      </c>
      <c r="B69" t="s">
        <v>150</v>
      </c>
      <c r="C69">
        <v>35</v>
      </c>
      <c r="D69">
        <v>154078</v>
      </c>
      <c r="E69">
        <v>959988</v>
      </c>
      <c r="F69">
        <v>12.92</v>
      </c>
      <c r="G69">
        <v>48</v>
      </c>
      <c r="H69">
        <v>688</v>
      </c>
      <c r="I69" t="s">
        <v>15</v>
      </c>
      <c r="J69" t="s">
        <v>21</v>
      </c>
      <c r="K69">
        <v>25716</v>
      </c>
      <c r="L69" t="s">
        <v>17</v>
      </c>
      <c r="M69" s="8">
        <v>44947</v>
      </c>
      <c r="N69" t="str">
        <f>_xlfn.XLOOKUP(B69,Customer_Master!A:A,Customer_Master!C:C,"Not Found")</f>
        <v>Bangalore</v>
      </c>
      <c r="O69" t="str">
        <f>_xlfn.XLOOKUP(B69,Customer_Master!A:A,Customer_Master!D:D,"Not Found")</f>
        <v>Self-Employed</v>
      </c>
      <c r="P69" t="str">
        <f>_xlfn.XLOOKUP(B69,Customer_Master!A:A,Customer_Master!E:E,"Not Found")</f>
        <v>High</v>
      </c>
      <c r="Q69" t="str" cm="1">
        <f t="array" ref="Q69">_xlfn.IFS(H69&lt;600,"High Risk",H69&lt;=750,"Medium Risk",TRUE,"Low Risk")</f>
        <v>Medium Risk</v>
      </c>
    </row>
    <row r="70" spans="1:17" x14ac:dyDescent="0.3">
      <c r="A70" t="s">
        <v>151</v>
      </c>
      <c r="B70" t="s">
        <v>152</v>
      </c>
      <c r="C70">
        <v>45</v>
      </c>
      <c r="D70">
        <v>93490</v>
      </c>
      <c r="E70">
        <v>1678621</v>
      </c>
      <c r="F70">
        <v>15.55</v>
      </c>
      <c r="G70">
        <v>120</v>
      </c>
      <c r="H70">
        <v>792</v>
      </c>
      <c r="I70" t="s">
        <v>27</v>
      </c>
      <c r="J70" t="s">
        <v>16</v>
      </c>
      <c r="K70">
        <v>27650</v>
      </c>
      <c r="L70" t="s">
        <v>22</v>
      </c>
      <c r="M70" s="8">
        <v>45519</v>
      </c>
      <c r="N70" t="str">
        <f>_xlfn.XLOOKUP(B70,Customer_Master!A:A,Customer_Master!C:C,"Not Found")</f>
        <v>Delhi</v>
      </c>
      <c r="O70" t="str">
        <f>_xlfn.XLOOKUP(B70,Customer_Master!A:A,Customer_Master!D:D,"Not Found")</f>
        <v>Salaried</v>
      </c>
      <c r="P70" t="str">
        <f>_xlfn.XLOOKUP(B70,Customer_Master!A:A,Customer_Master!E:E,"Not Found")</f>
        <v>Low</v>
      </c>
      <c r="Q70" t="str" cm="1">
        <f t="array" ref="Q70">_xlfn.IFS(H70&lt;600,"High Risk",H70&lt;=750,"Medium Risk",TRUE,"Low Risk")</f>
        <v>Low Risk</v>
      </c>
    </row>
    <row r="71" spans="1:17" x14ac:dyDescent="0.3">
      <c r="A71" t="s">
        <v>153</v>
      </c>
      <c r="B71" t="s">
        <v>154</v>
      </c>
      <c r="C71">
        <v>54</v>
      </c>
      <c r="D71">
        <v>38720</v>
      </c>
      <c r="E71">
        <v>745816</v>
      </c>
      <c r="F71">
        <v>13.3</v>
      </c>
      <c r="G71">
        <v>48</v>
      </c>
      <c r="H71">
        <v>774</v>
      </c>
      <c r="I71" t="s">
        <v>27</v>
      </c>
      <c r="J71" t="s">
        <v>28</v>
      </c>
      <c r="K71">
        <v>20120</v>
      </c>
      <c r="L71" t="s">
        <v>17</v>
      </c>
      <c r="M71" s="8">
        <v>44761</v>
      </c>
      <c r="N71" t="str">
        <f>_xlfn.XLOOKUP(B71,Customer_Master!A:A,Customer_Master!C:C,"Not Found")</f>
        <v>Pune</v>
      </c>
      <c r="O71" t="str">
        <f>_xlfn.XLOOKUP(B71,Customer_Master!A:A,Customer_Master!D:D,"Not Found")</f>
        <v>Self-Employed</v>
      </c>
      <c r="P71" t="str">
        <f>_xlfn.XLOOKUP(B71,Customer_Master!A:A,Customer_Master!E:E,"Not Found")</f>
        <v>Medium</v>
      </c>
      <c r="Q71" t="str" cm="1">
        <f t="array" ref="Q71">_xlfn.IFS(H71&lt;600,"High Risk",H71&lt;=750,"Medium Risk",TRUE,"Low Risk")</f>
        <v>Low Risk</v>
      </c>
    </row>
    <row r="72" spans="1:17" x14ac:dyDescent="0.3">
      <c r="A72" t="s">
        <v>155</v>
      </c>
      <c r="B72" t="s">
        <v>76</v>
      </c>
      <c r="C72">
        <v>38</v>
      </c>
      <c r="D72">
        <v>69028</v>
      </c>
      <c r="E72">
        <v>1975222</v>
      </c>
      <c r="F72">
        <v>14.77</v>
      </c>
      <c r="G72">
        <v>36</v>
      </c>
      <c r="H72">
        <v>628</v>
      </c>
      <c r="I72" t="s">
        <v>31</v>
      </c>
      <c r="J72" t="s">
        <v>39</v>
      </c>
      <c r="K72">
        <v>68249</v>
      </c>
      <c r="L72" t="s">
        <v>17</v>
      </c>
      <c r="M72" s="8">
        <v>45077</v>
      </c>
      <c r="N72" t="str">
        <f>_xlfn.XLOOKUP(B72,Customer_Master!A:A,Customer_Master!C:C,"Not Found")</f>
        <v>Pune</v>
      </c>
      <c r="O72" t="str">
        <f>_xlfn.XLOOKUP(B72,Customer_Master!A:A,Customer_Master!D:D,"Not Found")</f>
        <v>Self-Employed</v>
      </c>
      <c r="P72" t="str">
        <f>_xlfn.XLOOKUP(B72,Customer_Master!A:A,Customer_Master!E:E,"Not Found")</f>
        <v>Low</v>
      </c>
      <c r="Q72" t="str" cm="1">
        <f t="array" ref="Q72">_xlfn.IFS(H72&lt;600,"High Risk",H72&lt;=750,"Medium Risk",TRUE,"Low Risk")</f>
        <v>Medium Risk</v>
      </c>
    </row>
    <row r="73" spans="1:17" x14ac:dyDescent="0.3">
      <c r="A73" t="s">
        <v>156</v>
      </c>
      <c r="B73" t="s">
        <v>157</v>
      </c>
      <c r="C73">
        <v>33</v>
      </c>
      <c r="D73">
        <v>171451</v>
      </c>
      <c r="E73">
        <v>1618340</v>
      </c>
      <c r="F73">
        <v>10.11</v>
      </c>
      <c r="G73">
        <v>48</v>
      </c>
      <c r="H73">
        <v>565</v>
      </c>
      <c r="I73" t="s">
        <v>31</v>
      </c>
      <c r="J73" t="s">
        <v>28</v>
      </c>
      <c r="K73">
        <v>41131</v>
      </c>
      <c r="L73" t="s">
        <v>22</v>
      </c>
      <c r="M73" s="8">
        <v>44813</v>
      </c>
      <c r="N73" t="str">
        <f>_xlfn.XLOOKUP(B73,Customer_Master!A:A,Customer_Master!C:C,"Not Found")</f>
        <v>Bangalore</v>
      </c>
      <c r="O73" t="str">
        <f>_xlfn.XLOOKUP(B73,Customer_Master!A:A,Customer_Master!D:D,"Not Found")</f>
        <v>Business Owner</v>
      </c>
      <c r="P73" t="str">
        <f>_xlfn.XLOOKUP(B73,Customer_Master!A:A,Customer_Master!E:E,"Not Found")</f>
        <v>High</v>
      </c>
      <c r="Q73" t="str" cm="1">
        <f t="array" ref="Q73">_xlfn.IFS(H73&lt;600,"High Risk",H73&lt;=750,"Medium Risk",TRUE,"Low Risk")</f>
        <v>High Risk</v>
      </c>
    </row>
    <row r="74" spans="1:17" x14ac:dyDescent="0.3">
      <c r="A74" t="s">
        <v>158</v>
      </c>
      <c r="B74" t="s">
        <v>159</v>
      </c>
      <c r="C74">
        <v>42</v>
      </c>
      <c r="D74">
        <v>143979</v>
      </c>
      <c r="E74">
        <v>1104492</v>
      </c>
      <c r="F74">
        <v>12.39</v>
      </c>
      <c r="G74">
        <v>24</v>
      </c>
      <c r="H74">
        <v>618</v>
      </c>
      <c r="I74" t="s">
        <v>27</v>
      </c>
      <c r="J74" t="s">
        <v>28</v>
      </c>
      <c r="K74">
        <v>52194</v>
      </c>
      <c r="L74" t="s">
        <v>17</v>
      </c>
      <c r="M74" s="8">
        <v>45152</v>
      </c>
      <c r="N74" t="str">
        <f>_xlfn.XLOOKUP(B74,Customer_Master!A:A,Customer_Master!C:C,"Not Found")</f>
        <v>Chennai</v>
      </c>
      <c r="O74" t="str">
        <f>_xlfn.XLOOKUP(B74,Customer_Master!A:A,Customer_Master!D:D,"Not Found")</f>
        <v>Self-Employed</v>
      </c>
      <c r="P74" t="str">
        <f>_xlfn.XLOOKUP(B74,Customer_Master!A:A,Customer_Master!E:E,"Not Found")</f>
        <v>High</v>
      </c>
      <c r="Q74" t="str" cm="1">
        <f t="array" ref="Q74">_xlfn.IFS(H74&lt;600,"High Risk",H74&lt;=750,"Medium Risk",TRUE,"Low Risk")</f>
        <v>Medium Risk</v>
      </c>
    </row>
    <row r="75" spans="1:17" x14ac:dyDescent="0.3">
      <c r="A75" t="s">
        <v>160</v>
      </c>
      <c r="B75" t="s">
        <v>161</v>
      </c>
      <c r="C75">
        <v>23</v>
      </c>
      <c r="D75">
        <v>181854</v>
      </c>
      <c r="E75">
        <v>1846110</v>
      </c>
      <c r="F75">
        <v>15.61</v>
      </c>
      <c r="G75">
        <v>240</v>
      </c>
      <c r="H75">
        <v>591</v>
      </c>
      <c r="I75" t="s">
        <v>31</v>
      </c>
      <c r="J75" t="s">
        <v>16</v>
      </c>
      <c r="K75">
        <v>25145</v>
      </c>
      <c r="L75" t="s">
        <v>17</v>
      </c>
      <c r="M75" s="8">
        <v>45181</v>
      </c>
      <c r="N75" t="str">
        <f>_xlfn.XLOOKUP(B75,Customer_Master!A:A,Customer_Master!C:C,"Not Found")</f>
        <v>Chennai</v>
      </c>
      <c r="O75" t="str">
        <f>_xlfn.XLOOKUP(B75,Customer_Master!A:A,Customer_Master!D:D,"Not Found")</f>
        <v>Business Owner</v>
      </c>
      <c r="P75" t="str">
        <f>_xlfn.XLOOKUP(B75,Customer_Master!A:A,Customer_Master!E:E,"Not Found")</f>
        <v>Low</v>
      </c>
      <c r="Q75" t="str" cm="1">
        <f t="array" ref="Q75">_xlfn.IFS(H75&lt;600,"High Risk",H75&lt;=750,"Medium Risk",TRUE,"Low Risk")</f>
        <v>High Risk</v>
      </c>
    </row>
    <row r="76" spans="1:17" x14ac:dyDescent="0.3">
      <c r="A76" t="s">
        <v>162</v>
      </c>
      <c r="B76" t="s">
        <v>53</v>
      </c>
      <c r="C76">
        <v>49</v>
      </c>
      <c r="D76">
        <v>182989</v>
      </c>
      <c r="E76">
        <v>1360355</v>
      </c>
      <c r="F76">
        <v>15</v>
      </c>
      <c r="G76">
        <v>24</v>
      </c>
      <c r="H76">
        <v>789</v>
      </c>
      <c r="I76" t="s">
        <v>20</v>
      </c>
      <c r="J76" t="s">
        <v>28</v>
      </c>
      <c r="K76">
        <v>65959</v>
      </c>
      <c r="L76" t="s">
        <v>17</v>
      </c>
      <c r="M76" s="8">
        <v>44592</v>
      </c>
      <c r="N76" t="str">
        <f>_xlfn.XLOOKUP(B76,Customer_Master!A:A,Customer_Master!C:C,"Not Found")</f>
        <v>Bangalore</v>
      </c>
      <c r="O76" t="str">
        <f>_xlfn.XLOOKUP(B76,Customer_Master!A:A,Customer_Master!D:D,"Not Found")</f>
        <v>Salaried</v>
      </c>
      <c r="P76" t="str">
        <f>_xlfn.XLOOKUP(B76,Customer_Master!A:A,Customer_Master!E:E,"Not Found")</f>
        <v>Medium</v>
      </c>
      <c r="Q76" t="str" cm="1">
        <f t="array" ref="Q76">_xlfn.IFS(H76&lt;600,"High Risk",H76&lt;=750,"Medium Risk",TRUE,"Low Risk")</f>
        <v>Low Risk</v>
      </c>
    </row>
    <row r="77" spans="1:17" x14ac:dyDescent="0.3">
      <c r="A77" t="s">
        <v>163</v>
      </c>
      <c r="B77" t="s">
        <v>125</v>
      </c>
      <c r="C77">
        <v>34</v>
      </c>
      <c r="D77">
        <v>170430</v>
      </c>
      <c r="E77">
        <v>682799</v>
      </c>
      <c r="F77">
        <v>7.64</v>
      </c>
      <c r="G77">
        <v>24</v>
      </c>
      <c r="H77">
        <v>652</v>
      </c>
      <c r="I77" t="s">
        <v>27</v>
      </c>
      <c r="J77" t="s">
        <v>28</v>
      </c>
      <c r="K77">
        <v>30769</v>
      </c>
      <c r="L77" t="s">
        <v>22</v>
      </c>
      <c r="M77" s="8">
        <v>45417</v>
      </c>
      <c r="N77" t="str">
        <f>_xlfn.XLOOKUP(B77,Customer_Master!A:A,Customer_Master!C:C,"Not Found")</f>
        <v>Delhi</v>
      </c>
      <c r="O77" t="str">
        <f>_xlfn.XLOOKUP(B77,Customer_Master!A:A,Customer_Master!D:D,"Not Found")</f>
        <v>Salaried</v>
      </c>
      <c r="P77" t="str">
        <f>_xlfn.XLOOKUP(B77,Customer_Master!A:A,Customer_Master!E:E,"Not Found")</f>
        <v>Low</v>
      </c>
      <c r="Q77" t="str" cm="1">
        <f t="array" ref="Q77">_xlfn.IFS(H77&lt;600,"High Risk",H77&lt;=750,"Medium Risk",TRUE,"Low Risk")</f>
        <v>Medium Risk</v>
      </c>
    </row>
    <row r="78" spans="1:17" x14ac:dyDescent="0.3">
      <c r="A78" t="s">
        <v>164</v>
      </c>
      <c r="B78" t="s">
        <v>165</v>
      </c>
      <c r="C78">
        <v>39</v>
      </c>
      <c r="D78">
        <v>53281</v>
      </c>
      <c r="E78">
        <v>1445450</v>
      </c>
      <c r="F78">
        <v>11.87</v>
      </c>
      <c r="G78">
        <v>36</v>
      </c>
      <c r="H78">
        <v>754</v>
      </c>
      <c r="I78" t="s">
        <v>20</v>
      </c>
      <c r="J78" t="s">
        <v>39</v>
      </c>
      <c r="K78">
        <v>47920</v>
      </c>
      <c r="L78" t="s">
        <v>22</v>
      </c>
      <c r="M78" s="8">
        <v>45348</v>
      </c>
      <c r="N78" t="str">
        <f>_xlfn.XLOOKUP(B78,Customer_Master!A:A,Customer_Master!C:C,"Not Found")</f>
        <v>Hyderabad</v>
      </c>
      <c r="O78" t="str">
        <f>_xlfn.XLOOKUP(B78,Customer_Master!A:A,Customer_Master!D:D,"Not Found")</f>
        <v>Self-Employed</v>
      </c>
      <c r="P78" t="str">
        <f>_xlfn.XLOOKUP(B78,Customer_Master!A:A,Customer_Master!E:E,"Not Found")</f>
        <v>Low</v>
      </c>
      <c r="Q78" t="str" cm="1">
        <f t="array" ref="Q78">_xlfn.IFS(H78&lt;600,"High Risk",H78&lt;=750,"Medium Risk",TRUE,"Low Risk")</f>
        <v>Low Risk</v>
      </c>
    </row>
    <row r="79" spans="1:17" x14ac:dyDescent="0.3">
      <c r="A79" t="s">
        <v>166</v>
      </c>
      <c r="B79" t="s">
        <v>167</v>
      </c>
      <c r="C79">
        <v>45</v>
      </c>
      <c r="D79">
        <v>167891</v>
      </c>
      <c r="E79">
        <v>1260430</v>
      </c>
      <c r="F79">
        <v>11.76</v>
      </c>
      <c r="G79">
        <v>120</v>
      </c>
      <c r="H79">
        <v>742</v>
      </c>
      <c r="I79" t="s">
        <v>20</v>
      </c>
      <c r="J79" t="s">
        <v>28</v>
      </c>
      <c r="K79">
        <v>17909</v>
      </c>
      <c r="L79" t="s">
        <v>17</v>
      </c>
      <c r="M79" s="8">
        <v>45252</v>
      </c>
      <c r="N79" t="str">
        <f>_xlfn.XLOOKUP(B79,Customer_Master!A:A,Customer_Master!C:C,"Not Found")</f>
        <v>Pune</v>
      </c>
      <c r="O79" t="str">
        <f>_xlfn.XLOOKUP(B79,Customer_Master!A:A,Customer_Master!D:D,"Not Found")</f>
        <v>Salaried</v>
      </c>
      <c r="P79" t="str">
        <f>_xlfn.XLOOKUP(B79,Customer_Master!A:A,Customer_Master!E:E,"Not Found")</f>
        <v>High</v>
      </c>
      <c r="Q79" t="str" cm="1">
        <f t="array" ref="Q79">_xlfn.IFS(H79&lt;600,"High Risk",H79&lt;=750,"Medium Risk",TRUE,"Low Risk")</f>
        <v>Medium Risk</v>
      </c>
    </row>
    <row r="80" spans="1:17" x14ac:dyDescent="0.3">
      <c r="A80" t="s">
        <v>168</v>
      </c>
      <c r="B80" t="s">
        <v>169</v>
      </c>
      <c r="C80">
        <v>55</v>
      </c>
      <c r="D80">
        <v>94829</v>
      </c>
      <c r="E80">
        <v>545643</v>
      </c>
      <c r="F80">
        <v>14.4</v>
      </c>
      <c r="G80">
        <v>180</v>
      </c>
      <c r="H80">
        <v>551</v>
      </c>
      <c r="I80" t="s">
        <v>20</v>
      </c>
      <c r="J80" t="s">
        <v>21</v>
      </c>
      <c r="K80">
        <v>7414</v>
      </c>
      <c r="L80" t="s">
        <v>22</v>
      </c>
      <c r="M80" s="8">
        <v>44567</v>
      </c>
      <c r="N80" t="str">
        <f>_xlfn.XLOOKUP(B80,Customer_Master!A:A,Customer_Master!C:C,"Not Found")</f>
        <v>Hyderabad</v>
      </c>
      <c r="O80" t="str">
        <f>_xlfn.XLOOKUP(B80,Customer_Master!A:A,Customer_Master!D:D,"Not Found")</f>
        <v>Salaried</v>
      </c>
      <c r="P80" t="str">
        <f>_xlfn.XLOOKUP(B80,Customer_Master!A:A,Customer_Master!E:E,"Not Found")</f>
        <v>Medium</v>
      </c>
      <c r="Q80" t="str" cm="1">
        <f t="array" ref="Q80">_xlfn.IFS(H80&lt;600,"High Risk",H80&lt;=750,"Medium Risk",TRUE,"Low Risk")</f>
        <v>High Risk</v>
      </c>
    </row>
    <row r="81" spans="1:17" x14ac:dyDescent="0.3">
      <c r="A81" t="s">
        <v>170</v>
      </c>
      <c r="B81" t="s">
        <v>47</v>
      </c>
      <c r="C81">
        <v>25</v>
      </c>
      <c r="D81">
        <v>159963</v>
      </c>
      <c r="E81">
        <v>1188200</v>
      </c>
      <c r="F81">
        <v>11.12</v>
      </c>
      <c r="G81">
        <v>180</v>
      </c>
      <c r="H81">
        <v>636</v>
      </c>
      <c r="I81" t="s">
        <v>31</v>
      </c>
      <c r="J81" t="s">
        <v>21</v>
      </c>
      <c r="K81">
        <v>13595</v>
      </c>
      <c r="L81" t="s">
        <v>17</v>
      </c>
      <c r="M81" s="8">
        <v>44891</v>
      </c>
      <c r="N81" t="str">
        <f>_xlfn.XLOOKUP(B81,Customer_Master!A:A,Customer_Master!C:C,"Not Found")</f>
        <v>Mumbai</v>
      </c>
      <c r="O81" t="str">
        <f>_xlfn.XLOOKUP(B81,Customer_Master!A:A,Customer_Master!D:D,"Not Found")</f>
        <v>Business Owner</v>
      </c>
      <c r="P81" t="str">
        <f>_xlfn.XLOOKUP(B81,Customer_Master!A:A,Customer_Master!E:E,"Not Found")</f>
        <v>High</v>
      </c>
      <c r="Q81" t="str" cm="1">
        <f t="array" ref="Q81">_xlfn.IFS(H81&lt;600,"High Risk",H81&lt;=750,"Medium Risk",TRUE,"Low Risk")</f>
        <v>Medium Risk</v>
      </c>
    </row>
    <row r="82" spans="1:17" x14ac:dyDescent="0.3">
      <c r="A82" t="s">
        <v>171</v>
      </c>
      <c r="B82" t="s">
        <v>86</v>
      </c>
      <c r="C82">
        <v>53</v>
      </c>
      <c r="D82">
        <v>129805</v>
      </c>
      <c r="E82">
        <v>1804698</v>
      </c>
      <c r="F82">
        <v>9.64</v>
      </c>
      <c r="G82">
        <v>12</v>
      </c>
      <c r="H82">
        <v>502</v>
      </c>
      <c r="I82" t="s">
        <v>31</v>
      </c>
      <c r="J82" t="s">
        <v>16</v>
      </c>
      <c r="K82">
        <v>158360</v>
      </c>
      <c r="L82" t="s">
        <v>22</v>
      </c>
      <c r="M82" s="8">
        <v>45433</v>
      </c>
      <c r="N82" t="str">
        <f>_xlfn.XLOOKUP(B82,Customer_Master!A:A,Customer_Master!C:C,"Not Found")</f>
        <v>Delhi</v>
      </c>
      <c r="O82" t="str">
        <f>_xlfn.XLOOKUP(B82,Customer_Master!A:A,Customer_Master!D:D,"Not Found")</f>
        <v>Business Owner</v>
      </c>
      <c r="P82" t="str">
        <f>_xlfn.XLOOKUP(B82,Customer_Master!A:A,Customer_Master!E:E,"Not Found")</f>
        <v>High</v>
      </c>
      <c r="Q82" t="str" cm="1">
        <f t="array" ref="Q82">_xlfn.IFS(H82&lt;600,"High Risk",H82&lt;=750,"Medium Risk",TRUE,"Low Risk")</f>
        <v>High Risk</v>
      </c>
    </row>
    <row r="83" spans="1:17" x14ac:dyDescent="0.3">
      <c r="A83" t="s">
        <v>172</v>
      </c>
      <c r="B83" t="s">
        <v>146</v>
      </c>
      <c r="C83">
        <v>46</v>
      </c>
      <c r="D83">
        <v>120411</v>
      </c>
      <c r="E83">
        <v>444362</v>
      </c>
      <c r="F83">
        <v>9.84</v>
      </c>
      <c r="G83">
        <v>120</v>
      </c>
      <c r="H83">
        <v>637</v>
      </c>
      <c r="I83" t="s">
        <v>27</v>
      </c>
      <c r="J83" t="s">
        <v>39</v>
      </c>
      <c r="K83">
        <v>5833</v>
      </c>
      <c r="L83" t="s">
        <v>22</v>
      </c>
      <c r="M83" s="8">
        <v>45083</v>
      </c>
      <c r="N83" t="str">
        <f>_xlfn.XLOOKUP(B83,Customer_Master!A:A,Customer_Master!C:C,"Not Found")</f>
        <v>Mumbai</v>
      </c>
      <c r="O83" t="str">
        <f>_xlfn.XLOOKUP(B83,Customer_Master!A:A,Customer_Master!D:D,"Not Found")</f>
        <v>Salaried</v>
      </c>
      <c r="P83" t="str">
        <f>_xlfn.XLOOKUP(B83,Customer_Master!A:A,Customer_Master!E:E,"Not Found")</f>
        <v>Low</v>
      </c>
      <c r="Q83" t="str" cm="1">
        <f t="array" ref="Q83">_xlfn.IFS(H83&lt;600,"High Risk",H83&lt;=750,"Medium Risk",TRUE,"Low Risk")</f>
        <v>Medium Risk</v>
      </c>
    </row>
    <row r="84" spans="1:17" x14ac:dyDescent="0.3">
      <c r="A84" t="s">
        <v>173</v>
      </c>
      <c r="B84" t="s">
        <v>86</v>
      </c>
      <c r="C84">
        <v>24</v>
      </c>
      <c r="D84">
        <v>94525</v>
      </c>
      <c r="E84">
        <v>1573107</v>
      </c>
      <c r="F84">
        <v>14.41</v>
      </c>
      <c r="G84">
        <v>24</v>
      </c>
      <c r="H84">
        <v>476</v>
      </c>
      <c r="I84" t="s">
        <v>15</v>
      </c>
      <c r="J84" t="s">
        <v>28</v>
      </c>
      <c r="K84">
        <v>75834</v>
      </c>
      <c r="L84" t="s">
        <v>17</v>
      </c>
      <c r="M84" s="8">
        <v>45484</v>
      </c>
      <c r="N84" t="str">
        <f>_xlfn.XLOOKUP(B84,Customer_Master!A:A,Customer_Master!C:C,"Not Found")</f>
        <v>Delhi</v>
      </c>
      <c r="O84" t="str">
        <f>_xlfn.XLOOKUP(B84,Customer_Master!A:A,Customer_Master!D:D,"Not Found")</f>
        <v>Business Owner</v>
      </c>
      <c r="P84" t="str">
        <f>_xlfn.XLOOKUP(B84,Customer_Master!A:A,Customer_Master!E:E,"Not Found")</f>
        <v>High</v>
      </c>
      <c r="Q84" t="str" cm="1">
        <f t="array" ref="Q84">_xlfn.IFS(H84&lt;600,"High Risk",H84&lt;=750,"Medium Risk",TRUE,"Low Risk")</f>
        <v>High Risk</v>
      </c>
    </row>
    <row r="85" spans="1:17" x14ac:dyDescent="0.3">
      <c r="A85" t="s">
        <v>174</v>
      </c>
      <c r="B85" t="s">
        <v>47</v>
      </c>
      <c r="C85">
        <v>42</v>
      </c>
      <c r="D85">
        <v>106331</v>
      </c>
      <c r="E85">
        <v>783594</v>
      </c>
      <c r="F85">
        <v>15.79</v>
      </c>
      <c r="G85">
        <v>36</v>
      </c>
      <c r="H85">
        <v>833</v>
      </c>
      <c r="I85" t="s">
        <v>31</v>
      </c>
      <c r="J85" t="s">
        <v>16</v>
      </c>
      <c r="K85">
        <v>27468</v>
      </c>
      <c r="L85" t="s">
        <v>22</v>
      </c>
      <c r="M85" s="8">
        <v>45526</v>
      </c>
      <c r="N85" t="str">
        <f>_xlfn.XLOOKUP(B85,Customer_Master!A:A,Customer_Master!C:C,"Not Found")</f>
        <v>Mumbai</v>
      </c>
      <c r="O85" t="str">
        <f>_xlfn.XLOOKUP(B85,Customer_Master!A:A,Customer_Master!D:D,"Not Found")</f>
        <v>Business Owner</v>
      </c>
      <c r="P85" t="str">
        <f>_xlfn.XLOOKUP(B85,Customer_Master!A:A,Customer_Master!E:E,"Not Found")</f>
        <v>High</v>
      </c>
      <c r="Q85" t="str" cm="1">
        <f t="array" ref="Q85">_xlfn.IFS(H85&lt;600,"High Risk",H85&lt;=750,"Medium Risk",TRUE,"Low Risk")</f>
        <v>Low Risk</v>
      </c>
    </row>
    <row r="86" spans="1:17" x14ac:dyDescent="0.3">
      <c r="A86" t="s">
        <v>175</v>
      </c>
      <c r="B86" t="s">
        <v>176</v>
      </c>
      <c r="C86">
        <v>28</v>
      </c>
      <c r="D86">
        <v>26076</v>
      </c>
      <c r="E86">
        <v>244701</v>
      </c>
      <c r="F86">
        <v>15.15</v>
      </c>
      <c r="G86">
        <v>36</v>
      </c>
      <c r="H86">
        <v>712</v>
      </c>
      <c r="I86" t="s">
        <v>20</v>
      </c>
      <c r="J86" t="s">
        <v>28</v>
      </c>
      <c r="K86">
        <v>8501</v>
      </c>
      <c r="L86" t="s">
        <v>17</v>
      </c>
      <c r="M86" s="8">
        <v>45003</v>
      </c>
      <c r="N86" t="str">
        <f>_xlfn.XLOOKUP(B86,Customer_Master!A:A,Customer_Master!C:C,"Not Found")</f>
        <v>Chennai</v>
      </c>
      <c r="O86" t="str">
        <f>_xlfn.XLOOKUP(B86,Customer_Master!A:A,Customer_Master!D:D,"Not Found")</f>
        <v>Self-Employed</v>
      </c>
      <c r="P86" t="str">
        <f>_xlfn.XLOOKUP(B86,Customer_Master!A:A,Customer_Master!E:E,"Not Found")</f>
        <v>High</v>
      </c>
      <c r="Q86" t="str" cm="1">
        <f t="array" ref="Q86">_xlfn.IFS(H86&lt;600,"High Risk",H86&lt;=750,"Medium Risk",TRUE,"Low Risk")</f>
        <v>Medium Risk</v>
      </c>
    </row>
    <row r="87" spans="1:17" x14ac:dyDescent="0.3">
      <c r="A87" t="s">
        <v>177</v>
      </c>
      <c r="B87" t="s">
        <v>178</v>
      </c>
      <c r="C87">
        <v>23</v>
      </c>
      <c r="D87">
        <v>29406</v>
      </c>
      <c r="E87">
        <v>286061</v>
      </c>
      <c r="F87">
        <v>9.51</v>
      </c>
      <c r="G87">
        <v>12</v>
      </c>
      <c r="H87">
        <v>462</v>
      </c>
      <c r="I87" t="s">
        <v>27</v>
      </c>
      <c r="J87" t="s">
        <v>39</v>
      </c>
      <c r="K87">
        <v>25084</v>
      </c>
      <c r="L87" t="s">
        <v>34</v>
      </c>
      <c r="M87" s="8">
        <v>45319</v>
      </c>
      <c r="N87" t="str">
        <f>_xlfn.XLOOKUP(B87,Customer_Master!A:A,Customer_Master!C:C,"Not Found")</f>
        <v>Delhi</v>
      </c>
      <c r="O87" t="str">
        <f>_xlfn.XLOOKUP(B87,Customer_Master!A:A,Customer_Master!D:D,"Not Found")</f>
        <v>Business Owner</v>
      </c>
      <c r="P87" t="str">
        <f>_xlfn.XLOOKUP(B87,Customer_Master!A:A,Customer_Master!E:E,"Not Found")</f>
        <v>Low</v>
      </c>
      <c r="Q87" t="str" cm="1">
        <f t="array" ref="Q87">_xlfn.IFS(H87&lt;600,"High Risk",H87&lt;=750,"Medium Risk",TRUE,"Low Risk")</f>
        <v>High Risk</v>
      </c>
    </row>
    <row r="88" spans="1:17" x14ac:dyDescent="0.3">
      <c r="A88" t="s">
        <v>179</v>
      </c>
      <c r="B88" t="s">
        <v>180</v>
      </c>
      <c r="C88">
        <v>29</v>
      </c>
      <c r="D88">
        <v>124974</v>
      </c>
      <c r="E88">
        <v>758174</v>
      </c>
      <c r="F88">
        <v>15.16</v>
      </c>
      <c r="G88">
        <v>180</v>
      </c>
      <c r="H88">
        <v>512</v>
      </c>
      <c r="I88" t="s">
        <v>15</v>
      </c>
      <c r="J88" t="s">
        <v>16</v>
      </c>
      <c r="K88">
        <v>10695</v>
      </c>
      <c r="L88" t="s">
        <v>22</v>
      </c>
      <c r="M88" s="8">
        <v>45101</v>
      </c>
      <c r="N88" t="str">
        <f>_xlfn.XLOOKUP(B88,Customer_Master!A:A,Customer_Master!C:C,"Not Found")</f>
        <v>Bangalore</v>
      </c>
      <c r="O88" t="str">
        <f>_xlfn.XLOOKUP(B88,Customer_Master!A:A,Customer_Master!D:D,"Not Found")</f>
        <v>Salaried</v>
      </c>
      <c r="P88" t="str">
        <f>_xlfn.XLOOKUP(B88,Customer_Master!A:A,Customer_Master!E:E,"Not Found")</f>
        <v>Medium</v>
      </c>
      <c r="Q88" t="str" cm="1">
        <f t="array" ref="Q88">_xlfn.IFS(H88&lt;600,"High Risk",H88&lt;=750,"Medium Risk",TRUE,"Low Risk")</f>
        <v>High Risk</v>
      </c>
    </row>
    <row r="89" spans="1:17" x14ac:dyDescent="0.3">
      <c r="A89" t="s">
        <v>181</v>
      </c>
      <c r="B89" t="s">
        <v>182</v>
      </c>
      <c r="C89">
        <v>43</v>
      </c>
      <c r="D89">
        <v>149959</v>
      </c>
      <c r="E89">
        <v>1197181</v>
      </c>
      <c r="F89">
        <v>7.58</v>
      </c>
      <c r="G89">
        <v>240</v>
      </c>
      <c r="H89">
        <v>804</v>
      </c>
      <c r="I89" t="s">
        <v>20</v>
      </c>
      <c r="J89" t="s">
        <v>28</v>
      </c>
      <c r="K89">
        <v>9703</v>
      </c>
      <c r="L89" t="s">
        <v>22</v>
      </c>
      <c r="M89" s="8">
        <v>45023</v>
      </c>
      <c r="N89" t="str">
        <f>_xlfn.XLOOKUP(B89,Customer_Master!A:A,Customer_Master!C:C,"Not Found")</f>
        <v>Mumbai</v>
      </c>
      <c r="O89" t="str">
        <f>_xlfn.XLOOKUP(B89,Customer_Master!A:A,Customer_Master!D:D,"Not Found")</f>
        <v>Business Owner</v>
      </c>
      <c r="P89" t="str">
        <f>_xlfn.XLOOKUP(B89,Customer_Master!A:A,Customer_Master!E:E,"Not Found")</f>
        <v>High</v>
      </c>
      <c r="Q89" t="str" cm="1">
        <f t="array" ref="Q89">_xlfn.IFS(H89&lt;600,"High Risk",H89&lt;=750,"Medium Risk",TRUE,"Low Risk")</f>
        <v>Low Risk</v>
      </c>
    </row>
    <row r="90" spans="1:17" x14ac:dyDescent="0.3">
      <c r="A90" t="s">
        <v>183</v>
      </c>
      <c r="B90" t="s">
        <v>78</v>
      </c>
      <c r="C90">
        <v>52</v>
      </c>
      <c r="D90">
        <v>51328</v>
      </c>
      <c r="E90">
        <v>290152</v>
      </c>
      <c r="F90">
        <v>12.48</v>
      </c>
      <c r="G90">
        <v>36</v>
      </c>
      <c r="H90">
        <v>636</v>
      </c>
      <c r="I90" t="s">
        <v>20</v>
      </c>
      <c r="J90" t="s">
        <v>16</v>
      </c>
      <c r="K90">
        <v>9704</v>
      </c>
      <c r="L90" t="s">
        <v>22</v>
      </c>
      <c r="M90" s="8">
        <v>45386</v>
      </c>
      <c r="N90" t="str">
        <f>_xlfn.XLOOKUP(B90,Customer_Master!A:A,Customer_Master!C:C,"Not Found")</f>
        <v>Mumbai</v>
      </c>
      <c r="O90" t="str">
        <f>_xlfn.XLOOKUP(B90,Customer_Master!A:A,Customer_Master!D:D,"Not Found")</f>
        <v>Self-Employed</v>
      </c>
      <c r="P90" t="str">
        <f>_xlfn.XLOOKUP(B90,Customer_Master!A:A,Customer_Master!E:E,"Not Found")</f>
        <v>High</v>
      </c>
      <c r="Q90" t="str" cm="1">
        <f t="array" ref="Q90">_xlfn.IFS(H90&lt;600,"High Risk",H90&lt;=750,"Medium Risk",TRUE,"Low Risk")</f>
        <v>Medium Risk</v>
      </c>
    </row>
    <row r="91" spans="1:17" x14ac:dyDescent="0.3">
      <c r="A91" t="s">
        <v>184</v>
      </c>
      <c r="B91" t="s">
        <v>185</v>
      </c>
      <c r="C91">
        <v>40</v>
      </c>
      <c r="D91">
        <v>92330</v>
      </c>
      <c r="E91">
        <v>1592535</v>
      </c>
      <c r="F91">
        <v>12.71</v>
      </c>
      <c r="G91">
        <v>60</v>
      </c>
      <c r="H91">
        <v>836</v>
      </c>
      <c r="I91" t="s">
        <v>15</v>
      </c>
      <c r="J91" t="s">
        <v>21</v>
      </c>
      <c r="K91">
        <v>35999</v>
      </c>
      <c r="L91" t="s">
        <v>22</v>
      </c>
      <c r="M91" s="8">
        <v>45312</v>
      </c>
      <c r="N91" t="str">
        <f>_xlfn.XLOOKUP(B91,Customer_Master!A:A,Customer_Master!C:C,"Not Found")</f>
        <v>Chennai</v>
      </c>
      <c r="O91" t="str">
        <f>_xlfn.XLOOKUP(B91,Customer_Master!A:A,Customer_Master!D:D,"Not Found")</f>
        <v>Self-Employed</v>
      </c>
      <c r="P91" t="str">
        <f>_xlfn.XLOOKUP(B91,Customer_Master!A:A,Customer_Master!E:E,"Not Found")</f>
        <v>Medium</v>
      </c>
      <c r="Q91" t="str" cm="1">
        <f t="array" ref="Q91">_xlfn.IFS(H91&lt;600,"High Risk",H91&lt;=750,"Medium Risk",TRUE,"Low Risk")</f>
        <v>Low Risk</v>
      </c>
    </row>
    <row r="92" spans="1:17" x14ac:dyDescent="0.3">
      <c r="A92" t="s">
        <v>186</v>
      </c>
      <c r="B92" t="s">
        <v>36</v>
      </c>
      <c r="C92">
        <v>51</v>
      </c>
      <c r="D92">
        <v>102365</v>
      </c>
      <c r="E92">
        <v>1727854</v>
      </c>
      <c r="F92">
        <v>10.27</v>
      </c>
      <c r="G92">
        <v>120</v>
      </c>
      <c r="H92">
        <v>625</v>
      </c>
      <c r="I92" t="s">
        <v>31</v>
      </c>
      <c r="J92" t="s">
        <v>39</v>
      </c>
      <c r="K92">
        <v>23093</v>
      </c>
      <c r="L92" t="s">
        <v>22</v>
      </c>
      <c r="M92" s="8">
        <v>44842</v>
      </c>
      <c r="N92" t="str">
        <f>_xlfn.XLOOKUP(B92,Customer_Master!A:A,Customer_Master!C:C,"Not Found")</f>
        <v>Chennai</v>
      </c>
      <c r="O92" t="str">
        <f>_xlfn.XLOOKUP(B92,Customer_Master!A:A,Customer_Master!D:D,"Not Found")</f>
        <v>Self-Employed</v>
      </c>
      <c r="P92" t="str">
        <f>_xlfn.XLOOKUP(B92,Customer_Master!A:A,Customer_Master!E:E,"Not Found")</f>
        <v>Low</v>
      </c>
      <c r="Q92" t="str" cm="1">
        <f t="array" ref="Q92">_xlfn.IFS(H92&lt;600,"High Risk",H92&lt;=750,"Medium Risk",TRUE,"Low Risk")</f>
        <v>Medium Risk</v>
      </c>
    </row>
    <row r="93" spans="1:17" x14ac:dyDescent="0.3">
      <c r="A93" t="s">
        <v>187</v>
      </c>
      <c r="B93" t="s">
        <v>188</v>
      </c>
      <c r="C93">
        <v>30</v>
      </c>
      <c r="D93">
        <v>180167</v>
      </c>
      <c r="E93">
        <v>750234</v>
      </c>
      <c r="F93">
        <v>15.16</v>
      </c>
      <c r="G93">
        <v>120</v>
      </c>
      <c r="H93">
        <v>695</v>
      </c>
      <c r="I93" t="s">
        <v>15</v>
      </c>
      <c r="J93" t="s">
        <v>16</v>
      </c>
      <c r="K93">
        <v>12178</v>
      </c>
      <c r="L93" t="s">
        <v>22</v>
      </c>
      <c r="M93" s="8">
        <v>45359</v>
      </c>
      <c r="N93" t="str">
        <f>_xlfn.XLOOKUP(B93,Customer_Master!A:A,Customer_Master!C:C,"Not Found")</f>
        <v>Delhi</v>
      </c>
      <c r="O93" t="str">
        <f>_xlfn.XLOOKUP(B93,Customer_Master!A:A,Customer_Master!D:D,"Not Found")</f>
        <v>Salaried</v>
      </c>
      <c r="P93" t="str">
        <f>_xlfn.XLOOKUP(B93,Customer_Master!A:A,Customer_Master!E:E,"Not Found")</f>
        <v>High</v>
      </c>
      <c r="Q93" t="str" cm="1">
        <f t="array" ref="Q93">_xlfn.IFS(H93&lt;600,"High Risk",H93&lt;=750,"Medium Risk",TRUE,"Low Risk")</f>
        <v>Medium Risk</v>
      </c>
    </row>
    <row r="94" spans="1:17" x14ac:dyDescent="0.3">
      <c r="A94" t="s">
        <v>189</v>
      </c>
      <c r="B94" t="s">
        <v>190</v>
      </c>
      <c r="C94">
        <v>59</v>
      </c>
      <c r="D94">
        <v>121518</v>
      </c>
      <c r="E94">
        <v>926951</v>
      </c>
      <c r="F94">
        <v>10.78</v>
      </c>
      <c r="G94">
        <v>12</v>
      </c>
      <c r="H94">
        <v>774</v>
      </c>
      <c r="I94" t="s">
        <v>20</v>
      </c>
      <c r="J94" t="s">
        <v>16</v>
      </c>
      <c r="K94">
        <v>81830</v>
      </c>
      <c r="L94" t="s">
        <v>22</v>
      </c>
      <c r="M94" s="8">
        <v>44695</v>
      </c>
      <c r="N94" t="str">
        <f>_xlfn.XLOOKUP(B94,Customer_Master!A:A,Customer_Master!C:C,"Not Found")</f>
        <v>Chennai</v>
      </c>
      <c r="O94" t="str">
        <f>_xlfn.XLOOKUP(B94,Customer_Master!A:A,Customer_Master!D:D,"Not Found")</f>
        <v>Business Owner</v>
      </c>
      <c r="P94" t="str">
        <f>_xlfn.XLOOKUP(B94,Customer_Master!A:A,Customer_Master!E:E,"Not Found")</f>
        <v>Medium</v>
      </c>
      <c r="Q94" t="str" cm="1">
        <f t="array" ref="Q94">_xlfn.IFS(H94&lt;600,"High Risk",H94&lt;=750,"Medium Risk",TRUE,"Low Risk")</f>
        <v>Low Risk</v>
      </c>
    </row>
    <row r="95" spans="1:17" x14ac:dyDescent="0.3">
      <c r="A95" t="s">
        <v>191</v>
      </c>
      <c r="B95" t="s">
        <v>47</v>
      </c>
      <c r="C95">
        <v>57</v>
      </c>
      <c r="D95">
        <v>73337</v>
      </c>
      <c r="E95">
        <v>826874</v>
      </c>
      <c r="F95">
        <v>15.23</v>
      </c>
      <c r="G95">
        <v>48</v>
      </c>
      <c r="H95">
        <v>719</v>
      </c>
      <c r="I95" t="s">
        <v>15</v>
      </c>
      <c r="J95" t="s">
        <v>21</v>
      </c>
      <c r="K95">
        <v>23109</v>
      </c>
      <c r="L95" t="s">
        <v>17</v>
      </c>
      <c r="M95" s="8">
        <v>44794</v>
      </c>
      <c r="N95" t="str">
        <f>_xlfn.XLOOKUP(B95,Customer_Master!A:A,Customer_Master!C:C,"Not Found")</f>
        <v>Mumbai</v>
      </c>
      <c r="O95" t="str">
        <f>_xlfn.XLOOKUP(B95,Customer_Master!A:A,Customer_Master!D:D,"Not Found")</f>
        <v>Business Owner</v>
      </c>
      <c r="P95" t="str">
        <f>_xlfn.XLOOKUP(B95,Customer_Master!A:A,Customer_Master!E:E,"Not Found")</f>
        <v>High</v>
      </c>
      <c r="Q95" t="str" cm="1">
        <f t="array" ref="Q95">_xlfn.IFS(H95&lt;600,"High Risk",H95&lt;=750,"Medium Risk",TRUE,"Low Risk")</f>
        <v>Medium Risk</v>
      </c>
    </row>
    <row r="96" spans="1:17" x14ac:dyDescent="0.3">
      <c r="A96" t="s">
        <v>192</v>
      </c>
      <c r="B96" t="s">
        <v>180</v>
      </c>
      <c r="C96">
        <v>28</v>
      </c>
      <c r="D96">
        <v>103352</v>
      </c>
      <c r="E96">
        <v>218137</v>
      </c>
      <c r="F96">
        <v>15.49</v>
      </c>
      <c r="G96">
        <v>48</v>
      </c>
      <c r="H96">
        <v>757</v>
      </c>
      <c r="I96" t="s">
        <v>20</v>
      </c>
      <c r="J96" t="s">
        <v>39</v>
      </c>
      <c r="K96">
        <v>6125</v>
      </c>
      <c r="L96" t="s">
        <v>17</v>
      </c>
      <c r="M96" s="8">
        <v>45201</v>
      </c>
      <c r="N96" t="str">
        <f>_xlfn.XLOOKUP(B96,Customer_Master!A:A,Customer_Master!C:C,"Not Found")</f>
        <v>Bangalore</v>
      </c>
      <c r="O96" t="str">
        <f>_xlfn.XLOOKUP(B96,Customer_Master!A:A,Customer_Master!D:D,"Not Found")</f>
        <v>Salaried</v>
      </c>
      <c r="P96" t="str">
        <f>_xlfn.XLOOKUP(B96,Customer_Master!A:A,Customer_Master!E:E,"Not Found")</f>
        <v>Medium</v>
      </c>
      <c r="Q96" t="str" cm="1">
        <f t="array" ref="Q96">_xlfn.IFS(H96&lt;600,"High Risk",H96&lt;=750,"Medium Risk",TRUE,"Low Risk")</f>
        <v>Low Risk</v>
      </c>
    </row>
    <row r="97" spans="1:17" x14ac:dyDescent="0.3">
      <c r="A97" t="s">
        <v>193</v>
      </c>
      <c r="B97" t="s">
        <v>194</v>
      </c>
      <c r="C97">
        <v>24</v>
      </c>
      <c r="D97">
        <v>98736</v>
      </c>
      <c r="E97">
        <v>206167</v>
      </c>
      <c r="F97">
        <v>11.82</v>
      </c>
      <c r="G97">
        <v>180</v>
      </c>
      <c r="H97">
        <v>609</v>
      </c>
      <c r="I97" t="s">
        <v>31</v>
      </c>
      <c r="J97" t="s">
        <v>28</v>
      </c>
      <c r="K97">
        <v>2451</v>
      </c>
      <c r="L97" t="s">
        <v>22</v>
      </c>
      <c r="M97" s="8">
        <v>45491</v>
      </c>
      <c r="N97" t="str">
        <f>_xlfn.XLOOKUP(B97,Customer_Master!A:A,Customer_Master!C:C,"Not Found")</f>
        <v>Chennai</v>
      </c>
      <c r="O97" t="str">
        <f>_xlfn.XLOOKUP(B97,Customer_Master!A:A,Customer_Master!D:D,"Not Found")</f>
        <v>Business Owner</v>
      </c>
      <c r="P97" t="str">
        <f>_xlfn.XLOOKUP(B97,Customer_Master!A:A,Customer_Master!E:E,"Not Found")</f>
        <v>Medium</v>
      </c>
      <c r="Q97" t="str" cm="1">
        <f t="array" ref="Q97">_xlfn.IFS(H97&lt;600,"High Risk",H97&lt;=750,"Medium Risk",TRUE,"Low Risk")</f>
        <v>Medium Risk</v>
      </c>
    </row>
    <row r="98" spans="1:17" x14ac:dyDescent="0.3">
      <c r="A98" t="s">
        <v>195</v>
      </c>
      <c r="B98" t="s">
        <v>196</v>
      </c>
      <c r="C98">
        <v>28</v>
      </c>
      <c r="D98">
        <v>190811</v>
      </c>
      <c r="E98">
        <v>1793714</v>
      </c>
      <c r="F98">
        <v>14.94</v>
      </c>
      <c r="G98">
        <v>36</v>
      </c>
      <c r="H98">
        <v>684</v>
      </c>
      <c r="I98" t="s">
        <v>31</v>
      </c>
      <c r="J98" t="s">
        <v>16</v>
      </c>
      <c r="K98">
        <v>62127</v>
      </c>
      <c r="L98" t="s">
        <v>22</v>
      </c>
      <c r="M98" s="8">
        <v>45189</v>
      </c>
      <c r="N98" t="str">
        <f>_xlfn.XLOOKUP(B98,Customer_Master!A:A,Customer_Master!C:C,"Not Found")</f>
        <v>Delhi</v>
      </c>
      <c r="O98" t="str">
        <f>_xlfn.XLOOKUP(B98,Customer_Master!A:A,Customer_Master!D:D,"Not Found")</f>
        <v>Self-Employed</v>
      </c>
      <c r="P98" t="str">
        <f>_xlfn.XLOOKUP(B98,Customer_Master!A:A,Customer_Master!E:E,"Not Found")</f>
        <v>Low</v>
      </c>
      <c r="Q98" t="str" cm="1">
        <f t="array" ref="Q98">_xlfn.IFS(H98&lt;600,"High Risk",H98&lt;=750,"Medium Risk",TRUE,"Low Risk")</f>
        <v>Medium Risk</v>
      </c>
    </row>
    <row r="99" spans="1:17" x14ac:dyDescent="0.3">
      <c r="A99" t="s">
        <v>197</v>
      </c>
      <c r="B99" t="s">
        <v>198</v>
      </c>
      <c r="C99">
        <v>57</v>
      </c>
      <c r="D99">
        <v>119600</v>
      </c>
      <c r="E99">
        <v>969481</v>
      </c>
      <c r="F99">
        <v>13.51</v>
      </c>
      <c r="G99">
        <v>240</v>
      </c>
      <c r="H99">
        <v>823</v>
      </c>
      <c r="I99" t="s">
        <v>31</v>
      </c>
      <c r="J99" t="s">
        <v>39</v>
      </c>
      <c r="K99">
        <v>11712</v>
      </c>
      <c r="L99" t="s">
        <v>17</v>
      </c>
      <c r="M99" s="8">
        <v>45391</v>
      </c>
      <c r="N99" t="str">
        <f>_xlfn.XLOOKUP(B99,Customer_Master!A:A,Customer_Master!C:C,"Not Found")</f>
        <v>Delhi</v>
      </c>
      <c r="O99" t="str">
        <f>_xlfn.XLOOKUP(B99,Customer_Master!A:A,Customer_Master!D:D,"Not Found")</f>
        <v>Business Owner</v>
      </c>
      <c r="P99" t="str">
        <f>_xlfn.XLOOKUP(B99,Customer_Master!A:A,Customer_Master!E:E,"Not Found")</f>
        <v>High</v>
      </c>
      <c r="Q99" t="str" cm="1">
        <f t="array" ref="Q99">_xlfn.IFS(H99&lt;600,"High Risk",H99&lt;=750,"Medium Risk",TRUE,"Low Risk")</f>
        <v>Low Risk</v>
      </c>
    </row>
    <row r="100" spans="1:17" x14ac:dyDescent="0.3">
      <c r="A100" t="s">
        <v>199</v>
      </c>
      <c r="B100" t="s">
        <v>71</v>
      </c>
      <c r="C100">
        <v>46</v>
      </c>
      <c r="D100">
        <v>80067</v>
      </c>
      <c r="E100">
        <v>370753</v>
      </c>
      <c r="F100">
        <v>12.13</v>
      </c>
      <c r="G100">
        <v>12</v>
      </c>
      <c r="H100">
        <v>512</v>
      </c>
      <c r="I100" t="s">
        <v>27</v>
      </c>
      <c r="J100" t="s">
        <v>16</v>
      </c>
      <c r="K100">
        <v>32964</v>
      </c>
      <c r="L100" t="s">
        <v>34</v>
      </c>
      <c r="M100" s="8">
        <v>45461</v>
      </c>
      <c r="N100" t="str">
        <f>_xlfn.XLOOKUP(B100,Customer_Master!A:A,Customer_Master!C:C,"Not Found")</f>
        <v>Pune</v>
      </c>
      <c r="O100" t="str">
        <f>_xlfn.XLOOKUP(B100,Customer_Master!A:A,Customer_Master!D:D,"Not Found")</f>
        <v>Salaried</v>
      </c>
      <c r="P100" t="str">
        <f>_xlfn.XLOOKUP(B100,Customer_Master!A:A,Customer_Master!E:E,"Not Found")</f>
        <v>Medium</v>
      </c>
      <c r="Q100" t="str" cm="1">
        <f t="array" ref="Q100">_xlfn.IFS(H100&lt;600,"High Risk",H100&lt;=750,"Medium Risk",TRUE,"Low Risk")</f>
        <v>High Risk</v>
      </c>
    </row>
    <row r="101" spans="1:17" x14ac:dyDescent="0.3">
      <c r="A101" t="s">
        <v>200</v>
      </c>
      <c r="B101" t="s">
        <v>201</v>
      </c>
      <c r="C101">
        <v>60</v>
      </c>
      <c r="D101">
        <v>101664</v>
      </c>
      <c r="E101">
        <v>1765973</v>
      </c>
      <c r="F101">
        <v>7.88</v>
      </c>
      <c r="G101">
        <v>240</v>
      </c>
      <c r="H101">
        <v>461</v>
      </c>
      <c r="I101" t="s">
        <v>20</v>
      </c>
      <c r="J101" t="s">
        <v>28</v>
      </c>
      <c r="K101">
        <v>14640</v>
      </c>
      <c r="L101" t="s">
        <v>34</v>
      </c>
      <c r="M101" s="8">
        <v>44922</v>
      </c>
      <c r="N101" t="str">
        <f>_xlfn.XLOOKUP(B101,Customer_Master!A:A,Customer_Master!C:C,"Not Found")</f>
        <v>Pune</v>
      </c>
      <c r="O101" t="str">
        <f>_xlfn.XLOOKUP(B101,Customer_Master!A:A,Customer_Master!D:D,"Not Found")</f>
        <v>Business Owner</v>
      </c>
      <c r="P101" t="str">
        <f>_xlfn.XLOOKUP(B101,Customer_Master!A:A,Customer_Master!E:E,"Not Found")</f>
        <v>Medium</v>
      </c>
      <c r="Q101" t="str" cm="1">
        <f t="array" ref="Q101">_xlfn.IFS(H101&lt;600,"High Risk",H101&lt;=750,"Medium Risk",TRUE,"Low Risk")</f>
        <v>High Risk</v>
      </c>
    </row>
    <row r="102" spans="1:17" x14ac:dyDescent="0.3">
      <c r="A102" t="s">
        <v>202</v>
      </c>
      <c r="B102" t="s">
        <v>119</v>
      </c>
      <c r="C102">
        <v>40</v>
      </c>
      <c r="D102">
        <v>59077</v>
      </c>
      <c r="E102">
        <v>462171</v>
      </c>
      <c r="F102">
        <v>12.12</v>
      </c>
      <c r="G102">
        <v>12</v>
      </c>
      <c r="H102">
        <v>714</v>
      </c>
      <c r="I102" t="s">
        <v>27</v>
      </c>
      <c r="J102" t="s">
        <v>16</v>
      </c>
      <c r="K102">
        <v>41089</v>
      </c>
      <c r="L102" t="s">
        <v>17</v>
      </c>
      <c r="M102" s="8">
        <v>45048</v>
      </c>
      <c r="N102" t="str">
        <f>_xlfn.XLOOKUP(B102,Customer_Master!A:A,Customer_Master!C:C,"Not Found")</f>
        <v>Bangalore</v>
      </c>
      <c r="O102" t="str">
        <f>_xlfn.XLOOKUP(B102,Customer_Master!A:A,Customer_Master!D:D,"Not Found")</f>
        <v>Self-Employed</v>
      </c>
      <c r="P102" t="str">
        <f>_xlfn.XLOOKUP(B102,Customer_Master!A:A,Customer_Master!E:E,"Not Found")</f>
        <v>Medium</v>
      </c>
      <c r="Q102" t="str" cm="1">
        <f t="array" ref="Q102">_xlfn.IFS(H102&lt;600,"High Risk",H102&lt;=750,"Medium Risk",TRUE,"Low Risk")</f>
        <v>Medium Risk</v>
      </c>
    </row>
    <row r="103" spans="1:17" x14ac:dyDescent="0.3">
      <c r="A103" t="s">
        <v>203</v>
      </c>
      <c r="B103" t="s">
        <v>88</v>
      </c>
      <c r="C103">
        <v>60</v>
      </c>
      <c r="D103">
        <v>67174</v>
      </c>
      <c r="E103">
        <v>469767</v>
      </c>
      <c r="F103">
        <v>9.1300000000000008</v>
      </c>
      <c r="G103">
        <v>12</v>
      </c>
      <c r="H103">
        <v>602</v>
      </c>
      <c r="I103" t="s">
        <v>20</v>
      </c>
      <c r="J103" t="s">
        <v>28</v>
      </c>
      <c r="K103">
        <v>41110</v>
      </c>
      <c r="L103" t="s">
        <v>22</v>
      </c>
      <c r="M103" s="8">
        <v>44862</v>
      </c>
      <c r="N103" t="str">
        <f>_xlfn.XLOOKUP(B103,Customer_Master!A:A,Customer_Master!C:C,"Not Found")</f>
        <v>Mumbai</v>
      </c>
      <c r="O103" t="str">
        <f>_xlfn.XLOOKUP(B103,Customer_Master!A:A,Customer_Master!D:D,"Not Found")</f>
        <v>Salaried</v>
      </c>
      <c r="P103" t="str">
        <f>_xlfn.XLOOKUP(B103,Customer_Master!A:A,Customer_Master!E:E,"Not Found")</f>
        <v>Low</v>
      </c>
      <c r="Q103" t="str" cm="1">
        <f t="array" ref="Q103">_xlfn.IFS(H103&lt;600,"High Risk",H103&lt;=750,"Medium Risk",TRUE,"Low Risk")</f>
        <v>Medium Risk</v>
      </c>
    </row>
    <row r="104" spans="1:17" x14ac:dyDescent="0.3">
      <c r="A104" t="s">
        <v>204</v>
      </c>
      <c r="B104" t="s">
        <v>205</v>
      </c>
      <c r="C104">
        <v>44</v>
      </c>
      <c r="D104">
        <v>109059</v>
      </c>
      <c r="E104">
        <v>560511</v>
      </c>
      <c r="F104">
        <v>7.94</v>
      </c>
      <c r="G104">
        <v>48</v>
      </c>
      <c r="H104">
        <v>804</v>
      </c>
      <c r="I104" t="s">
        <v>15</v>
      </c>
      <c r="J104" t="s">
        <v>16</v>
      </c>
      <c r="K104">
        <v>13668</v>
      </c>
      <c r="L104" t="s">
        <v>22</v>
      </c>
      <c r="M104" s="8">
        <v>45007</v>
      </c>
      <c r="N104" t="str">
        <f>_xlfn.XLOOKUP(B104,Customer_Master!A:A,Customer_Master!C:C,"Not Found")</f>
        <v>Delhi</v>
      </c>
      <c r="O104" t="str">
        <f>_xlfn.XLOOKUP(B104,Customer_Master!A:A,Customer_Master!D:D,"Not Found")</f>
        <v>Business Owner</v>
      </c>
      <c r="P104" t="str">
        <f>_xlfn.XLOOKUP(B104,Customer_Master!A:A,Customer_Master!E:E,"Not Found")</f>
        <v>Low</v>
      </c>
      <c r="Q104" t="str" cm="1">
        <f t="array" ref="Q104">_xlfn.IFS(H104&lt;600,"High Risk",H104&lt;=750,"Medium Risk",TRUE,"Low Risk")</f>
        <v>Low Risk</v>
      </c>
    </row>
    <row r="105" spans="1:17" x14ac:dyDescent="0.3">
      <c r="A105" t="s">
        <v>206</v>
      </c>
      <c r="B105" t="s">
        <v>207</v>
      </c>
      <c r="C105">
        <v>46</v>
      </c>
      <c r="D105">
        <v>125615</v>
      </c>
      <c r="E105">
        <v>738392</v>
      </c>
      <c r="F105">
        <v>9.49</v>
      </c>
      <c r="G105">
        <v>180</v>
      </c>
      <c r="H105">
        <v>657</v>
      </c>
      <c r="I105" t="s">
        <v>15</v>
      </c>
      <c r="J105" t="s">
        <v>39</v>
      </c>
      <c r="K105">
        <v>7706</v>
      </c>
      <c r="L105" t="s">
        <v>22</v>
      </c>
      <c r="M105" s="8">
        <v>45314</v>
      </c>
      <c r="N105" t="str">
        <f>_xlfn.XLOOKUP(B105,Customer_Master!A:A,Customer_Master!C:C,"Not Found")</f>
        <v>Mumbai</v>
      </c>
      <c r="O105" t="str">
        <f>_xlfn.XLOOKUP(B105,Customer_Master!A:A,Customer_Master!D:D,"Not Found")</f>
        <v>Salaried</v>
      </c>
      <c r="P105" t="str">
        <f>_xlfn.XLOOKUP(B105,Customer_Master!A:A,Customer_Master!E:E,"Not Found")</f>
        <v>Low</v>
      </c>
      <c r="Q105" t="str" cm="1">
        <f t="array" ref="Q105">_xlfn.IFS(H105&lt;600,"High Risk",H105&lt;=750,"Medium Risk",TRUE,"Low Risk")</f>
        <v>Medium Risk</v>
      </c>
    </row>
    <row r="106" spans="1:17" x14ac:dyDescent="0.3">
      <c r="A106" t="s">
        <v>208</v>
      </c>
      <c r="B106" t="s">
        <v>78</v>
      </c>
      <c r="C106">
        <v>32</v>
      </c>
      <c r="D106">
        <v>33019</v>
      </c>
      <c r="E106">
        <v>259144</v>
      </c>
      <c r="F106">
        <v>9.68</v>
      </c>
      <c r="G106">
        <v>120</v>
      </c>
      <c r="H106">
        <v>486</v>
      </c>
      <c r="I106" t="s">
        <v>20</v>
      </c>
      <c r="J106" t="s">
        <v>28</v>
      </c>
      <c r="K106">
        <v>3379</v>
      </c>
      <c r="L106" t="s">
        <v>17</v>
      </c>
      <c r="M106" s="8">
        <v>45291</v>
      </c>
      <c r="N106" t="str">
        <f>_xlfn.XLOOKUP(B106,Customer_Master!A:A,Customer_Master!C:C,"Not Found")</f>
        <v>Mumbai</v>
      </c>
      <c r="O106" t="str">
        <f>_xlfn.XLOOKUP(B106,Customer_Master!A:A,Customer_Master!D:D,"Not Found")</f>
        <v>Self-Employed</v>
      </c>
      <c r="P106" t="str">
        <f>_xlfn.XLOOKUP(B106,Customer_Master!A:A,Customer_Master!E:E,"Not Found")</f>
        <v>High</v>
      </c>
      <c r="Q106" t="str" cm="1">
        <f t="array" ref="Q106">_xlfn.IFS(H106&lt;600,"High Risk",H106&lt;=750,"Medium Risk",TRUE,"Low Risk")</f>
        <v>High Risk</v>
      </c>
    </row>
    <row r="107" spans="1:17" x14ac:dyDescent="0.3">
      <c r="A107" t="s">
        <v>209</v>
      </c>
      <c r="B107" t="s">
        <v>210</v>
      </c>
      <c r="C107">
        <v>48</v>
      </c>
      <c r="D107">
        <v>153271</v>
      </c>
      <c r="E107">
        <v>315753</v>
      </c>
      <c r="F107">
        <v>12.31</v>
      </c>
      <c r="G107">
        <v>48</v>
      </c>
      <c r="H107">
        <v>616</v>
      </c>
      <c r="I107" t="s">
        <v>27</v>
      </c>
      <c r="J107" t="s">
        <v>16</v>
      </c>
      <c r="K107">
        <v>8363</v>
      </c>
      <c r="L107" t="s">
        <v>22</v>
      </c>
      <c r="M107" s="8">
        <v>45538</v>
      </c>
      <c r="N107" t="str">
        <f>_xlfn.XLOOKUP(B107,Customer_Master!A:A,Customer_Master!C:C,"Not Found")</f>
        <v>Hyderabad</v>
      </c>
      <c r="O107" t="str">
        <f>_xlfn.XLOOKUP(B107,Customer_Master!A:A,Customer_Master!D:D,"Not Found")</f>
        <v>Salaried</v>
      </c>
      <c r="P107" t="str">
        <f>_xlfn.XLOOKUP(B107,Customer_Master!A:A,Customer_Master!E:E,"Not Found")</f>
        <v>High</v>
      </c>
      <c r="Q107" t="str" cm="1">
        <f t="array" ref="Q107">_xlfn.IFS(H107&lt;600,"High Risk",H107&lt;=750,"Medium Risk",TRUE,"Low Risk")</f>
        <v>Medium Risk</v>
      </c>
    </row>
    <row r="108" spans="1:17" x14ac:dyDescent="0.3">
      <c r="A108" t="s">
        <v>211</v>
      </c>
      <c r="B108" t="s">
        <v>212</v>
      </c>
      <c r="C108">
        <v>33</v>
      </c>
      <c r="D108">
        <v>175315</v>
      </c>
      <c r="E108">
        <v>1220533</v>
      </c>
      <c r="F108">
        <v>15.99</v>
      </c>
      <c r="G108">
        <v>24</v>
      </c>
      <c r="H108">
        <v>573</v>
      </c>
      <c r="I108" t="s">
        <v>15</v>
      </c>
      <c r="J108" t="s">
        <v>39</v>
      </c>
      <c r="K108">
        <v>59755</v>
      </c>
      <c r="L108" t="s">
        <v>34</v>
      </c>
      <c r="M108" s="8">
        <v>44735</v>
      </c>
      <c r="N108" t="str">
        <f>_xlfn.XLOOKUP(B108,Customer_Master!A:A,Customer_Master!C:C,"Not Found")</f>
        <v>Chennai</v>
      </c>
      <c r="O108" t="str">
        <f>_xlfn.XLOOKUP(B108,Customer_Master!A:A,Customer_Master!D:D,"Not Found")</f>
        <v>Business Owner</v>
      </c>
      <c r="P108" t="str">
        <f>_xlfn.XLOOKUP(B108,Customer_Master!A:A,Customer_Master!E:E,"Not Found")</f>
        <v>High</v>
      </c>
      <c r="Q108" t="str" cm="1">
        <f t="array" ref="Q108">_xlfn.IFS(H108&lt;600,"High Risk",H108&lt;=750,"Medium Risk",TRUE,"Low Risk")</f>
        <v>High Risk</v>
      </c>
    </row>
    <row r="109" spans="1:17" x14ac:dyDescent="0.3">
      <c r="A109" t="s">
        <v>213</v>
      </c>
      <c r="B109" t="s">
        <v>214</v>
      </c>
      <c r="C109">
        <v>55</v>
      </c>
      <c r="D109">
        <v>192262</v>
      </c>
      <c r="E109">
        <v>1246143</v>
      </c>
      <c r="F109">
        <v>8.08</v>
      </c>
      <c r="G109">
        <v>240</v>
      </c>
      <c r="H109">
        <v>492</v>
      </c>
      <c r="I109" t="s">
        <v>27</v>
      </c>
      <c r="J109" t="s">
        <v>16</v>
      </c>
      <c r="K109">
        <v>10485</v>
      </c>
      <c r="L109" t="s">
        <v>22</v>
      </c>
      <c r="M109" s="8">
        <v>45252</v>
      </c>
      <c r="N109" t="str">
        <f>_xlfn.XLOOKUP(B109,Customer_Master!A:A,Customer_Master!C:C,"Not Found")</f>
        <v>Pune</v>
      </c>
      <c r="O109" t="str">
        <f>_xlfn.XLOOKUP(B109,Customer_Master!A:A,Customer_Master!D:D,"Not Found")</f>
        <v>Business Owner</v>
      </c>
      <c r="P109" t="str">
        <f>_xlfn.XLOOKUP(B109,Customer_Master!A:A,Customer_Master!E:E,"Not Found")</f>
        <v>Low</v>
      </c>
      <c r="Q109" t="str" cm="1">
        <f t="array" ref="Q109">_xlfn.IFS(H109&lt;600,"High Risk",H109&lt;=750,"Medium Risk",TRUE,"Low Risk")</f>
        <v>High Risk</v>
      </c>
    </row>
    <row r="110" spans="1:17" x14ac:dyDescent="0.3">
      <c r="A110" t="s">
        <v>215</v>
      </c>
      <c r="B110" t="s">
        <v>216</v>
      </c>
      <c r="C110">
        <v>47</v>
      </c>
      <c r="D110">
        <v>158964</v>
      </c>
      <c r="E110">
        <v>163591</v>
      </c>
      <c r="F110">
        <v>7.72</v>
      </c>
      <c r="G110">
        <v>240</v>
      </c>
      <c r="H110">
        <v>830</v>
      </c>
      <c r="I110" t="s">
        <v>15</v>
      </c>
      <c r="J110" t="s">
        <v>16</v>
      </c>
      <c r="K110">
        <v>1340</v>
      </c>
      <c r="L110" t="s">
        <v>22</v>
      </c>
      <c r="M110" s="8">
        <v>45085</v>
      </c>
      <c r="N110" t="str">
        <f>_xlfn.XLOOKUP(B110,Customer_Master!A:A,Customer_Master!C:C,"Not Found")</f>
        <v>Chennai</v>
      </c>
      <c r="O110" t="str">
        <f>_xlfn.XLOOKUP(B110,Customer_Master!A:A,Customer_Master!D:D,"Not Found")</f>
        <v>Business Owner</v>
      </c>
      <c r="P110" t="str">
        <f>_xlfn.XLOOKUP(B110,Customer_Master!A:A,Customer_Master!E:E,"Not Found")</f>
        <v>Medium</v>
      </c>
      <c r="Q110" t="str" cm="1">
        <f t="array" ref="Q110">_xlfn.IFS(H110&lt;600,"High Risk",H110&lt;=750,"Medium Risk",TRUE,"Low Risk")</f>
        <v>Low Risk</v>
      </c>
    </row>
    <row r="111" spans="1:17" x14ac:dyDescent="0.3">
      <c r="A111" t="s">
        <v>217</v>
      </c>
      <c r="B111" t="s">
        <v>218</v>
      </c>
      <c r="C111">
        <v>29</v>
      </c>
      <c r="D111">
        <v>127109</v>
      </c>
      <c r="E111">
        <v>1622913</v>
      </c>
      <c r="F111">
        <v>8.8000000000000007</v>
      </c>
      <c r="G111">
        <v>12</v>
      </c>
      <c r="H111">
        <v>766</v>
      </c>
      <c r="I111" t="s">
        <v>20</v>
      </c>
      <c r="J111" t="s">
        <v>39</v>
      </c>
      <c r="K111">
        <v>141776</v>
      </c>
      <c r="L111" t="s">
        <v>22</v>
      </c>
      <c r="M111" s="8">
        <v>45506</v>
      </c>
      <c r="N111" t="str">
        <f>_xlfn.XLOOKUP(B111,Customer_Master!A:A,Customer_Master!C:C,"Not Found")</f>
        <v>Pune</v>
      </c>
      <c r="O111" t="str">
        <f>_xlfn.XLOOKUP(B111,Customer_Master!A:A,Customer_Master!D:D,"Not Found")</f>
        <v>Salaried</v>
      </c>
      <c r="P111" t="str">
        <f>_xlfn.XLOOKUP(B111,Customer_Master!A:A,Customer_Master!E:E,"Not Found")</f>
        <v>Low</v>
      </c>
      <c r="Q111" t="str" cm="1">
        <f t="array" ref="Q111">_xlfn.IFS(H111&lt;600,"High Risk",H111&lt;=750,"Medium Risk",TRUE,"Low Risk")</f>
        <v>Low Risk</v>
      </c>
    </row>
    <row r="112" spans="1:17" x14ac:dyDescent="0.3">
      <c r="A112" t="s">
        <v>219</v>
      </c>
      <c r="B112" t="s">
        <v>78</v>
      </c>
      <c r="C112">
        <v>22</v>
      </c>
      <c r="D112">
        <v>197842</v>
      </c>
      <c r="E112">
        <v>1828229</v>
      </c>
      <c r="F112">
        <v>12.75</v>
      </c>
      <c r="G112">
        <v>120</v>
      </c>
      <c r="H112">
        <v>615</v>
      </c>
      <c r="I112" t="s">
        <v>20</v>
      </c>
      <c r="J112" t="s">
        <v>39</v>
      </c>
      <c r="K112">
        <v>27029</v>
      </c>
      <c r="L112" t="s">
        <v>22</v>
      </c>
      <c r="M112" s="8">
        <v>45502</v>
      </c>
      <c r="N112" t="str">
        <f>_xlfn.XLOOKUP(B112,Customer_Master!A:A,Customer_Master!C:C,"Not Found")</f>
        <v>Mumbai</v>
      </c>
      <c r="O112" t="str">
        <f>_xlfn.XLOOKUP(B112,Customer_Master!A:A,Customer_Master!D:D,"Not Found")</f>
        <v>Self-Employed</v>
      </c>
      <c r="P112" t="str">
        <f>_xlfn.XLOOKUP(B112,Customer_Master!A:A,Customer_Master!E:E,"Not Found")</f>
        <v>High</v>
      </c>
      <c r="Q112" t="str" cm="1">
        <f t="array" ref="Q112">_xlfn.IFS(H112&lt;600,"High Risk",H112&lt;=750,"Medium Risk",TRUE,"Low Risk")</f>
        <v>Medium Risk</v>
      </c>
    </row>
    <row r="113" spans="1:17" x14ac:dyDescent="0.3">
      <c r="A113" t="s">
        <v>220</v>
      </c>
      <c r="B113" t="s">
        <v>139</v>
      </c>
      <c r="C113">
        <v>39</v>
      </c>
      <c r="D113">
        <v>188631</v>
      </c>
      <c r="E113">
        <v>904017</v>
      </c>
      <c r="F113">
        <v>10.66</v>
      </c>
      <c r="G113">
        <v>24</v>
      </c>
      <c r="H113">
        <v>777</v>
      </c>
      <c r="I113" t="s">
        <v>27</v>
      </c>
      <c r="J113" t="s">
        <v>16</v>
      </c>
      <c r="K113">
        <v>41992</v>
      </c>
      <c r="L113" t="s">
        <v>22</v>
      </c>
      <c r="M113" s="8">
        <v>44599</v>
      </c>
      <c r="N113" t="str">
        <f>_xlfn.XLOOKUP(B113,Customer_Master!A:A,Customer_Master!C:C,"Not Found")</f>
        <v>Mumbai</v>
      </c>
      <c r="O113" t="str">
        <f>_xlfn.XLOOKUP(B113,Customer_Master!A:A,Customer_Master!D:D,"Not Found")</f>
        <v>Self-Employed</v>
      </c>
      <c r="P113" t="str">
        <f>_xlfn.XLOOKUP(B113,Customer_Master!A:A,Customer_Master!E:E,"Not Found")</f>
        <v>Low</v>
      </c>
      <c r="Q113" t="str" cm="1">
        <f t="array" ref="Q113">_xlfn.IFS(H113&lt;600,"High Risk",H113&lt;=750,"Medium Risk",TRUE,"Low Risk")</f>
        <v>Low Risk</v>
      </c>
    </row>
    <row r="114" spans="1:17" x14ac:dyDescent="0.3">
      <c r="A114" t="s">
        <v>221</v>
      </c>
      <c r="B114" t="s">
        <v>88</v>
      </c>
      <c r="C114">
        <v>27</v>
      </c>
      <c r="D114">
        <v>121948</v>
      </c>
      <c r="E114">
        <v>958995</v>
      </c>
      <c r="F114">
        <v>13.2</v>
      </c>
      <c r="G114">
        <v>36</v>
      </c>
      <c r="H114">
        <v>626</v>
      </c>
      <c r="I114" t="s">
        <v>27</v>
      </c>
      <c r="J114" t="s">
        <v>39</v>
      </c>
      <c r="K114">
        <v>32405</v>
      </c>
      <c r="L114" t="s">
        <v>22</v>
      </c>
      <c r="M114" s="8">
        <v>45029</v>
      </c>
      <c r="N114" t="str">
        <f>_xlfn.XLOOKUP(B114,Customer_Master!A:A,Customer_Master!C:C,"Not Found")</f>
        <v>Mumbai</v>
      </c>
      <c r="O114" t="str">
        <f>_xlfn.XLOOKUP(B114,Customer_Master!A:A,Customer_Master!D:D,"Not Found")</f>
        <v>Salaried</v>
      </c>
      <c r="P114" t="str">
        <f>_xlfn.XLOOKUP(B114,Customer_Master!A:A,Customer_Master!E:E,"Not Found")</f>
        <v>Low</v>
      </c>
      <c r="Q114" t="str" cm="1">
        <f t="array" ref="Q114">_xlfn.IFS(H114&lt;600,"High Risk",H114&lt;=750,"Medium Risk",TRUE,"Low Risk")</f>
        <v>Medium Risk</v>
      </c>
    </row>
    <row r="115" spans="1:17" x14ac:dyDescent="0.3">
      <c r="A115" t="s">
        <v>222</v>
      </c>
      <c r="B115" t="s">
        <v>178</v>
      </c>
      <c r="C115">
        <v>36</v>
      </c>
      <c r="D115">
        <v>174247</v>
      </c>
      <c r="E115">
        <v>432766</v>
      </c>
      <c r="F115">
        <v>12.23</v>
      </c>
      <c r="G115">
        <v>60</v>
      </c>
      <c r="H115">
        <v>778</v>
      </c>
      <c r="I115" t="s">
        <v>20</v>
      </c>
      <c r="J115" t="s">
        <v>21</v>
      </c>
      <c r="K115">
        <v>9677</v>
      </c>
      <c r="L115" t="s">
        <v>22</v>
      </c>
      <c r="M115" s="8">
        <v>45495</v>
      </c>
      <c r="N115" t="str">
        <f>_xlfn.XLOOKUP(B115,Customer_Master!A:A,Customer_Master!C:C,"Not Found")</f>
        <v>Delhi</v>
      </c>
      <c r="O115" t="str">
        <f>_xlfn.XLOOKUP(B115,Customer_Master!A:A,Customer_Master!D:D,"Not Found")</f>
        <v>Business Owner</v>
      </c>
      <c r="P115" t="str">
        <f>_xlfn.XLOOKUP(B115,Customer_Master!A:A,Customer_Master!E:E,"Not Found")</f>
        <v>Low</v>
      </c>
      <c r="Q115" t="str" cm="1">
        <f t="array" ref="Q115">_xlfn.IFS(H115&lt;600,"High Risk",H115&lt;=750,"Medium Risk",TRUE,"Low Risk")</f>
        <v>Low Risk</v>
      </c>
    </row>
    <row r="116" spans="1:17" x14ac:dyDescent="0.3">
      <c r="A116" t="s">
        <v>223</v>
      </c>
      <c r="B116" t="s">
        <v>224</v>
      </c>
      <c r="C116">
        <v>43</v>
      </c>
      <c r="D116">
        <v>177892</v>
      </c>
      <c r="E116">
        <v>648924</v>
      </c>
      <c r="F116">
        <v>8.11</v>
      </c>
      <c r="G116">
        <v>60</v>
      </c>
      <c r="H116">
        <v>573</v>
      </c>
      <c r="I116" t="s">
        <v>27</v>
      </c>
      <c r="J116" t="s">
        <v>28</v>
      </c>
      <c r="K116">
        <v>13192</v>
      </c>
      <c r="L116" t="s">
        <v>22</v>
      </c>
      <c r="M116" s="8">
        <v>44716</v>
      </c>
      <c r="N116" t="str">
        <f>_xlfn.XLOOKUP(B116,Customer_Master!A:A,Customer_Master!C:C,"Not Found")</f>
        <v>Hyderabad</v>
      </c>
      <c r="O116" t="str">
        <f>_xlfn.XLOOKUP(B116,Customer_Master!A:A,Customer_Master!D:D,"Not Found")</f>
        <v>Business Owner</v>
      </c>
      <c r="P116" t="str">
        <f>_xlfn.XLOOKUP(B116,Customer_Master!A:A,Customer_Master!E:E,"Not Found")</f>
        <v>Low</v>
      </c>
      <c r="Q116" t="str" cm="1">
        <f t="array" ref="Q116">_xlfn.IFS(H116&lt;600,"High Risk",H116&lt;=750,"Medium Risk",TRUE,"Low Risk")</f>
        <v>High Risk</v>
      </c>
    </row>
    <row r="117" spans="1:17" x14ac:dyDescent="0.3">
      <c r="A117" t="s">
        <v>225</v>
      </c>
      <c r="B117" t="s">
        <v>112</v>
      </c>
      <c r="C117">
        <v>48</v>
      </c>
      <c r="D117">
        <v>132471</v>
      </c>
      <c r="E117">
        <v>1828567</v>
      </c>
      <c r="F117">
        <v>10.64</v>
      </c>
      <c r="G117">
        <v>180</v>
      </c>
      <c r="H117">
        <v>752</v>
      </c>
      <c r="I117" t="s">
        <v>27</v>
      </c>
      <c r="J117" t="s">
        <v>39</v>
      </c>
      <c r="K117">
        <v>20372</v>
      </c>
      <c r="L117" t="s">
        <v>17</v>
      </c>
      <c r="M117" s="8">
        <v>44975</v>
      </c>
      <c r="N117" t="str">
        <f>_xlfn.XLOOKUP(B117,Customer_Master!A:A,Customer_Master!C:C,"Not Found")</f>
        <v>Mumbai</v>
      </c>
      <c r="O117" t="str">
        <f>_xlfn.XLOOKUP(B117,Customer_Master!A:A,Customer_Master!D:D,"Not Found")</f>
        <v>Salaried</v>
      </c>
      <c r="P117" t="str">
        <f>_xlfn.XLOOKUP(B117,Customer_Master!A:A,Customer_Master!E:E,"Not Found")</f>
        <v>High</v>
      </c>
      <c r="Q117" t="str" cm="1">
        <f t="array" ref="Q117">_xlfn.IFS(H117&lt;600,"High Risk",H117&lt;=750,"Medium Risk",TRUE,"Low Risk")</f>
        <v>Low Risk</v>
      </c>
    </row>
    <row r="118" spans="1:17" x14ac:dyDescent="0.3">
      <c r="A118" t="s">
        <v>226</v>
      </c>
      <c r="B118" t="s">
        <v>227</v>
      </c>
      <c r="C118">
        <v>53</v>
      </c>
      <c r="D118">
        <v>176014</v>
      </c>
      <c r="E118">
        <v>1063906</v>
      </c>
      <c r="F118">
        <v>7.72</v>
      </c>
      <c r="G118">
        <v>12</v>
      </c>
      <c r="H118">
        <v>706</v>
      </c>
      <c r="I118" t="s">
        <v>15</v>
      </c>
      <c r="J118" t="s">
        <v>21</v>
      </c>
      <c r="K118">
        <v>92410</v>
      </c>
      <c r="L118" t="s">
        <v>17</v>
      </c>
      <c r="M118" s="8">
        <v>44635</v>
      </c>
      <c r="N118" t="str">
        <f>_xlfn.XLOOKUP(B118,Customer_Master!A:A,Customer_Master!C:C,"Not Found")</f>
        <v>Delhi</v>
      </c>
      <c r="O118" t="str">
        <f>_xlfn.XLOOKUP(B118,Customer_Master!A:A,Customer_Master!D:D,"Not Found")</f>
        <v>Salaried</v>
      </c>
      <c r="P118" t="str">
        <f>_xlfn.XLOOKUP(B118,Customer_Master!A:A,Customer_Master!E:E,"Not Found")</f>
        <v>High</v>
      </c>
      <c r="Q118" t="str" cm="1">
        <f t="array" ref="Q118">_xlfn.IFS(H118&lt;600,"High Risk",H118&lt;=750,"Medium Risk",TRUE,"Low Risk")</f>
        <v>Medium Risk</v>
      </c>
    </row>
    <row r="119" spans="1:17" x14ac:dyDescent="0.3">
      <c r="A119" t="s">
        <v>228</v>
      </c>
      <c r="B119" t="s">
        <v>229</v>
      </c>
      <c r="C119">
        <v>31</v>
      </c>
      <c r="D119">
        <v>125990</v>
      </c>
      <c r="E119">
        <v>1453273</v>
      </c>
      <c r="F119">
        <v>16.309999999999999</v>
      </c>
      <c r="G119">
        <v>60</v>
      </c>
      <c r="H119">
        <v>722</v>
      </c>
      <c r="I119" t="s">
        <v>27</v>
      </c>
      <c r="J119" t="s">
        <v>28</v>
      </c>
      <c r="K119">
        <v>35581</v>
      </c>
      <c r="L119" t="s">
        <v>22</v>
      </c>
      <c r="M119" s="8">
        <v>45444</v>
      </c>
      <c r="N119" t="str">
        <f>_xlfn.XLOOKUP(B119,Customer_Master!A:A,Customer_Master!C:C,"Not Found")</f>
        <v>Bangalore</v>
      </c>
      <c r="O119" t="str">
        <f>_xlfn.XLOOKUP(B119,Customer_Master!A:A,Customer_Master!D:D,"Not Found")</f>
        <v>Salaried</v>
      </c>
      <c r="P119" t="str">
        <f>_xlfn.XLOOKUP(B119,Customer_Master!A:A,Customer_Master!E:E,"Not Found")</f>
        <v>Medium</v>
      </c>
      <c r="Q119" t="str" cm="1">
        <f t="array" ref="Q119">_xlfn.IFS(H119&lt;600,"High Risk",H119&lt;=750,"Medium Risk",TRUE,"Low Risk")</f>
        <v>Medium Risk</v>
      </c>
    </row>
    <row r="120" spans="1:17" x14ac:dyDescent="0.3">
      <c r="A120" t="s">
        <v>230</v>
      </c>
      <c r="B120" t="s">
        <v>69</v>
      </c>
      <c r="C120">
        <v>22</v>
      </c>
      <c r="D120">
        <v>150944</v>
      </c>
      <c r="E120">
        <v>1289902</v>
      </c>
      <c r="F120">
        <v>11.86</v>
      </c>
      <c r="G120">
        <v>48</v>
      </c>
      <c r="H120">
        <v>492</v>
      </c>
      <c r="I120" t="s">
        <v>15</v>
      </c>
      <c r="J120" t="s">
        <v>16</v>
      </c>
      <c r="K120">
        <v>33879</v>
      </c>
      <c r="L120" t="s">
        <v>22</v>
      </c>
      <c r="M120" s="8">
        <v>45197</v>
      </c>
      <c r="N120" t="str">
        <f>_xlfn.XLOOKUP(B120,Customer_Master!A:A,Customer_Master!C:C,"Not Found")</f>
        <v>Mumbai</v>
      </c>
      <c r="O120" t="str">
        <f>_xlfn.XLOOKUP(B120,Customer_Master!A:A,Customer_Master!D:D,"Not Found")</f>
        <v>Business Owner</v>
      </c>
      <c r="P120" t="str">
        <f>_xlfn.XLOOKUP(B120,Customer_Master!A:A,Customer_Master!E:E,"Not Found")</f>
        <v>High</v>
      </c>
      <c r="Q120" t="str" cm="1">
        <f t="array" ref="Q120">_xlfn.IFS(H120&lt;600,"High Risk",H120&lt;=750,"Medium Risk",TRUE,"Low Risk")</f>
        <v>High Risk</v>
      </c>
    </row>
    <row r="121" spans="1:17" x14ac:dyDescent="0.3">
      <c r="A121" t="s">
        <v>231</v>
      </c>
      <c r="B121" t="s">
        <v>232</v>
      </c>
      <c r="C121">
        <v>31</v>
      </c>
      <c r="D121">
        <v>178483</v>
      </c>
      <c r="E121">
        <v>1153375</v>
      </c>
      <c r="F121">
        <v>10.4</v>
      </c>
      <c r="G121">
        <v>120</v>
      </c>
      <c r="H121">
        <v>724</v>
      </c>
      <c r="I121" t="s">
        <v>27</v>
      </c>
      <c r="J121" t="s">
        <v>28</v>
      </c>
      <c r="K121">
        <v>15499</v>
      </c>
      <c r="L121" t="s">
        <v>22</v>
      </c>
      <c r="M121" s="8">
        <v>45102</v>
      </c>
      <c r="N121" t="str">
        <f>_xlfn.XLOOKUP(B121,Customer_Master!A:A,Customer_Master!C:C,"Not Found")</f>
        <v>Chennai</v>
      </c>
      <c r="O121" t="str">
        <f>_xlfn.XLOOKUP(B121,Customer_Master!A:A,Customer_Master!D:D,"Not Found")</f>
        <v>Self-Employed</v>
      </c>
      <c r="P121" t="str">
        <f>_xlfn.XLOOKUP(B121,Customer_Master!A:A,Customer_Master!E:E,"Not Found")</f>
        <v>Low</v>
      </c>
      <c r="Q121" t="str" cm="1">
        <f t="array" ref="Q121">_xlfn.IFS(H121&lt;600,"High Risk",H121&lt;=750,"Medium Risk",TRUE,"Low Risk")</f>
        <v>Medium Risk</v>
      </c>
    </row>
    <row r="122" spans="1:17" x14ac:dyDescent="0.3">
      <c r="A122" t="s">
        <v>233</v>
      </c>
      <c r="B122" t="s">
        <v>234</v>
      </c>
      <c r="C122">
        <v>38</v>
      </c>
      <c r="D122">
        <v>92370</v>
      </c>
      <c r="E122">
        <v>262408</v>
      </c>
      <c r="F122">
        <v>7.55</v>
      </c>
      <c r="G122">
        <v>24</v>
      </c>
      <c r="H122">
        <v>789</v>
      </c>
      <c r="I122" t="s">
        <v>27</v>
      </c>
      <c r="J122" t="s">
        <v>28</v>
      </c>
      <c r="K122">
        <v>11814</v>
      </c>
      <c r="L122" t="s">
        <v>22</v>
      </c>
      <c r="M122" s="8">
        <v>45547</v>
      </c>
      <c r="N122" t="str">
        <f>_xlfn.XLOOKUP(B122,Customer_Master!A:A,Customer_Master!C:C,"Not Found")</f>
        <v>Chennai</v>
      </c>
      <c r="O122" t="str">
        <f>_xlfn.XLOOKUP(B122,Customer_Master!A:A,Customer_Master!D:D,"Not Found")</f>
        <v>Self-Employed</v>
      </c>
      <c r="P122" t="str">
        <f>_xlfn.XLOOKUP(B122,Customer_Master!A:A,Customer_Master!E:E,"Not Found")</f>
        <v>Low</v>
      </c>
      <c r="Q122" t="str" cm="1">
        <f t="array" ref="Q122">_xlfn.IFS(H122&lt;600,"High Risk",H122&lt;=750,"Medium Risk",TRUE,"Low Risk")</f>
        <v>Low Risk</v>
      </c>
    </row>
    <row r="123" spans="1:17" x14ac:dyDescent="0.3">
      <c r="A123" t="s">
        <v>235</v>
      </c>
      <c r="B123" t="s">
        <v>236</v>
      </c>
      <c r="C123">
        <v>51</v>
      </c>
      <c r="D123">
        <v>113337</v>
      </c>
      <c r="E123">
        <v>930541</v>
      </c>
      <c r="F123">
        <v>9.9700000000000006</v>
      </c>
      <c r="G123">
        <v>120</v>
      </c>
      <c r="H123">
        <v>643</v>
      </c>
      <c r="I123" t="s">
        <v>31</v>
      </c>
      <c r="J123" t="s">
        <v>28</v>
      </c>
      <c r="K123">
        <v>12282</v>
      </c>
      <c r="L123" t="s">
        <v>22</v>
      </c>
      <c r="M123" s="8">
        <v>45066</v>
      </c>
      <c r="N123" t="str">
        <f>_xlfn.XLOOKUP(B123,Customer_Master!A:A,Customer_Master!C:C,"Not Found")</f>
        <v>Bangalore</v>
      </c>
      <c r="O123" t="str">
        <f>_xlfn.XLOOKUP(B123,Customer_Master!A:A,Customer_Master!D:D,"Not Found")</f>
        <v>Business Owner</v>
      </c>
      <c r="P123" t="str">
        <f>_xlfn.XLOOKUP(B123,Customer_Master!A:A,Customer_Master!E:E,"Not Found")</f>
        <v>High</v>
      </c>
      <c r="Q123" t="str" cm="1">
        <f t="array" ref="Q123">_xlfn.IFS(H123&lt;600,"High Risk",H123&lt;=750,"Medium Risk",TRUE,"Low Risk")</f>
        <v>Medium Risk</v>
      </c>
    </row>
    <row r="124" spans="1:17" x14ac:dyDescent="0.3">
      <c r="A124" t="s">
        <v>237</v>
      </c>
      <c r="B124" t="s">
        <v>121</v>
      </c>
      <c r="C124">
        <v>27</v>
      </c>
      <c r="D124">
        <v>39821</v>
      </c>
      <c r="E124">
        <v>1656136</v>
      </c>
      <c r="F124">
        <v>12.45</v>
      </c>
      <c r="G124">
        <v>60</v>
      </c>
      <c r="H124">
        <v>623</v>
      </c>
      <c r="I124" t="s">
        <v>31</v>
      </c>
      <c r="J124" t="s">
        <v>21</v>
      </c>
      <c r="K124">
        <v>37218</v>
      </c>
      <c r="L124" t="s">
        <v>22</v>
      </c>
      <c r="M124" s="8">
        <v>45409</v>
      </c>
      <c r="N124" t="str">
        <f>_xlfn.XLOOKUP(B124,Customer_Master!A:A,Customer_Master!C:C,"Not Found")</f>
        <v>Pune</v>
      </c>
      <c r="O124" t="str">
        <f>_xlfn.XLOOKUP(B124,Customer_Master!A:A,Customer_Master!D:D,"Not Found")</f>
        <v>Salaried</v>
      </c>
      <c r="P124" t="str">
        <f>_xlfn.XLOOKUP(B124,Customer_Master!A:A,Customer_Master!E:E,"Not Found")</f>
        <v>Medium</v>
      </c>
      <c r="Q124" t="str" cm="1">
        <f t="array" ref="Q124">_xlfn.IFS(H124&lt;600,"High Risk",H124&lt;=750,"Medium Risk",TRUE,"Low Risk")</f>
        <v>Medium Risk</v>
      </c>
    </row>
    <row r="125" spans="1:17" x14ac:dyDescent="0.3">
      <c r="A125" t="s">
        <v>238</v>
      </c>
      <c r="B125" t="s">
        <v>36</v>
      </c>
      <c r="C125">
        <v>29</v>
      </c>
      <c r="D125">
        <v>157658</v>
      </c>
      <c r="E125">
        <v>995713</v>
      </c>
      <c r="F125">
        <v>10.8</v>
      </c>
      <c r="G125">
        <v>180</v>
      </c>
      <c r="H125">
        <v>823</v>
      </c>
      <c r="I125" t="s">
        <v>27</v>
      </c>
      <c r="J125" t="s">
        <v>39</v>
      </c>
      <c r="K125">
        <v>11193</v>
      </c>
      <c r="L125" t="s">
        <v>22</v>
      </c>
      <c r="M125" s="8">
        <v>45394</v>
      </c>
      <c r="N125" t="str">
        <f>_xlfn.XLOOKUP(B125,Customer_Master!A:A,Customer_Master!C:C,"Not Found")</f>
        <v>Chennai</v>
      </c>
      <c r="O125" t="str">
        <f>_xlfn.XLOOKUP(B125,Customer_Master!A:A,Customer_Master!D:D,"Not Found")</f>
        <v>Self-Employed</v>
      </c>
      <c r="P125" t="str">
        <f>_xlfn.XLOOKUP(B125,Customer_Master!A:A,Customer_Master!E:E,"Not Found")</f>
        <v>Low</v>
      </c>
      <c r="Q125" t="str" cm="1">
        <f t="array" ref="Q125">_xlfn.IFS(H125&lt;600,"High Risk",H125&lt;=750,"Medium Risk",TRUE,"Low Risk")</f>
        <v>Low Risk</v>
      </c>
    </row>
    <row r="126" spans="1:17" x14ac:dyDescent="0.3">
      <c r="A126" t="s">
        <v>239</v>
      </c>
      <c r="B126" t="s">
        <v>165</v>
      </c>
      <c r="C126">
        <v>46</v>
      </c>
      <c r="D126">
        <v>149439</v>
      </c>
      <c r="E126">
        <v>1195064</v>
      </c>
      <c r="F126">
        <v>13.37</v>
      </c>
      <c r="G126">
        <v>180</v>
      </c>
      <c r="H126">
        <v>799</v>
      </c>
      <c r="I126" t="s">
        <v>15</v>
      </c>
      <c r="J126" t="s">
        <v>21</v>
      </c>
      <c r="K126">
        <v>15413</v>
      </c>
      <c r="L126" t="s">
        <v>17</v>
      </c>
      <c r="M126" s="8">
        <v>45191</v>
      </c>
      <c r="N126" t="str">
        <f>_xlfn.XLOOKUP(B126,Customer_Master!A:A,Customer_Master!C:C,"Not Found")</f>
        <v>Hyderabad</v>
      </c>
      <c r="O126" t="str">
        <f>_xlfn.XLOOKUP(B126,Customer_Master!A:A,Customer_Master!D:D,"Not Found")</f>
        <v>Self-Employed</v>
      </c>
      <c r="P126" t="str">
        <f>_xlfn.XLOOKUP(B126,Customer_Master!A:A,Customer_Master!E:E,"Not Found")</f>
        <v>Low</v>
      </c>
      <c r="Q126" t="str" cm="1">
        <f t="array" ref="Q126">_xlfn.IFS(H126&lt;600,"High Risk",H126&lt;=750,"Medium Risk",TRUE,"Low Risk")</f>
        <v>Low Risk</v>
      </c>
    </row>
    <row r="127" spans="1:17" x14ac:dyDescent="0.3">
      <c r="A127" t="s">
        <v>240</v>
      </c>
      <c r="B127" t="s">
        <v>241</v>
      </c>
      <c r="C127">
        <v>38</v>
      </c>
      <c r="D127">
        <v>61088</v>
      </c>
      <c r="E127">
        <v>613911</v>
      </c>
      <c r="F127">
        <v>13.48</v>
      </c>
      <c r="G127">
        <v>60</v>
      </c>
      <c r="H127">
        <v>620</v>
      </c>
      <c r="I127" t="s">
        <v>31</v>
      </c>
      <c r="J127" t="s">
        <v>39</v>
      </c>
      <c r="K127">
        <v>14120</v>
      </c>
      <c r="L127" t="s">
        <v>22</v>
      </c>
      <c r="M127" s="8">
        <v>45140</v>
      </c>
      <c r="N127" t="str">
        <f>_xlfn.XLOOKUP(B127,Customer_Master!A:A,Customer_Master!C:C,"Not Found")</f>
        <v>Mumbai</v>
      </c>
      <c r="O127" t="str">
        <f>_xlfn.XLOOKUP(B127,Customer_Master!A:A,Customer_Master!D:D,"Not Found")</f>
        <v>Self-Employed</v>
      </c>
      <c r="P127" t="str">
        <f>_xlfn.XLOOKUP(B127,Customer_Master!A:A,Customer_Master!E:E,"Not Found")</f>
        <v>High</v>
      </c>
      <c r="Q127" t="str" cm="1">
        <f t="array" ref="Q127">_xlfn.IFS(H127&lt;600,"High Risk",H127&lt;=750,"Medium Risk",TRUE,"Low Risk")</f>
        <v>Medium Risk</v>
      </c>
    </row>
    <row r="128" spans="1:17" x14ac:dyDescent="0.3">
      <c r="A128" t="s">
        <v>242</v>
      </c>
      <c r="B128" t="s">
        <v>51</v>
      </c>
      <c r="C128">
        <v>52</v>
      </c>
      <c r="D128">
        <v>159523</v>
      </c>
      <c r="E128">
        <v>686421</v>
      </c>
      <c r="F128">
        <v>10.66</v>
      </c>
      <c r="G128">
        <v>120</v>
      </c>
      <c r="H128">
        <v>539</v>
      </c>
      <c r="I128" t="s">
        <v>20</v>
      </c>
      <c r="J128" t="s">
        <v>21</v>
      </c>
      <c r="K128">
        <v>9324</v>
      </c>
      <c r="L128" t="s">
        <v>34</v>
      </c>
      <c r="M128" s="8">
        <v>45415</v>
      </c>
      <c r="N128" t="str">
        <f>_xlfn.XLOOKUP(B128,Customer_Master!A:A,Customer_Master!C:C,"Not Found")</f>
        <v>Bangalore</v>
      </c>
      <c r="O128" t="str">
        <f>_xlfn.XLOOKUP(B128,Customer_Master!A:A,Customer_Master!D:D,"Not Found")</f>
        <v>Business Owner</v>
      </c>
      <c r="P128" t="str">
        <f>_xlfn.XLOOKUP(B128,Customer_Master!A:A,Customer_Master!E:E,"Not Found")</f>
        <v>Medium</v>
      </c>
      <c r="Q128" t="str" cm="1">
        <f t="array" ref="Q128">_xlfn.IFS(H128&lt;600,"High Risk",H128&lt;=750,"Medium Risk",TRUE,"Low Risk")</f>
        <v>High Risk</v>
      </c>
    </row>
    <row r="129" spans="1:17" x14ac:dyDescent="0.3">
      <c r="A129" t="s">
        <v>243</v>
      </c>
      <c r="B129" t="s">
        <v>236</v>
      </c>
      <c r="C129">
        <v>22</v>
      </c>
      <c r="D129">
        <v>181657</v>
      </c>
      <c r="E129">
        <v>1732520</v>
      </c>
      <c r="F129">
        <v>9.7799999999999994</v>
      </c>
      <c r="G129">
        <v>48</v>
      </c>
      <c r="H129">
        <v>460</v>
      </c>
      <c r="I129" t="s">
        <v>20</v>
      </c>
      <c r="J129" t="s">
        <v>39</v>
      </c>
      <c r="K129">
        <v>43758</v>
      </c>
      <c r="L129" t="s">
        <v>17</v>
      </c>
      <c r="M129" s="8">
        <v>44942</v>
      </c>
      <c r="N129" t="str">
        <f>_xlfn.XLOOKUP(B129,Customer_Master!A:A,Customer_Master!C:C,"Not Found")</f>
        <v>Bangalore</v>
      </c>
      <c r="O129" t="str">
        <f>_xlfn.XLOOKUP(B129,Customer_Master!A:A,Customer_Master!D:D,"Not Found")</f>
        <v>Business Owner</v>
      </c>
      <c r="P129" t="str">
        <f>_xlfn.XLOOKUP(B129,Customer_Master!A:A,Customer_Master!E:E,"Not Found")</f>
        <v>High</v>
      </c>
      <c r="Q129" t="str" cm="1">
        <f t="array" ref="Q129">_xlfn.IFS(H129&lt;600,"High Risk",H129&lt;=750,"Medium Risk",TRUE,"Low Risk")</f>
        <v>High Risk</v>
      </c>
    </row>
    <row r="130" spans="1:17" x14ac:dyDescent="0.3">
      <c r="A130" t="s">
        <v>244</v>
      </c>
      <c r="B130" t="s">
        <v>245</v>
      </c>
      <c r="C130">
        <v>33</v>
      </c>
      <c r="D130">
        <v>189885</v>
      </c>
      <c r="E130">
        <v>1410660</v>
      </c>
      <c r="F130">
        <v>16.170000000000002</v>
      </c>
      <c r="G130">
        <v>240</v>
      </c>
      <c r="H130">
        <v>607</v>
      </c>
      <c r="I130" t="s">
        <v>15</v>
      </c>
      <c r="J130" t="s">
        <v>28</v>
      </c>
      <c r="K130">
        <v>19806</v>
      </c>
      <c r="L130" t="s">
        <v>17</v>
      </c>
      <c r="M130" s="8">
        <v>45193</v>
      </c>
      <c r="N130" t="str">
        <f>_xlfn.XLOOKUP(B130,Customer_Master!A:A,Customer_Master!C:C,"Not Found")</f>
        <v>Hyderabad</v>
      </c>
      <c r="O130" t="str">
        <f>_xlfn.XLOOKUP(B130,Customer_Master!A:A,Customer_Master!D:D,"Not Found")</f>
        <v>Self-Employed</v>
      </c>
      <c r="P130" t="str">
        <f>_xlfn.XLOOKUP(B130,Customer_Master!A:A,Customer_Master!E:E,"Not Found")</f>
        <v>High</v>
      </c>
      <c r="Q130" t="str" cm="1">
        <f t="array" ref="Q130">_xlfn.IFS(H130&lt;600,"High Risk",H130&lt;=750,"Medium Risk",TRUE,"Low Risk")</f>
        <v>Medium Risk</v>
      </c>
    </row>
    <row r="131" spans="1:17" x14ac:dyDescent="0.3">
      <c r="A131" t="s">
        <v>246</v>
      </c>
      <c r="B131" t="s">
        <v>247</v>
      </c>
      <c r="C131">
        <v>33</v>
      </c>
      <c r="D131">
        <v>170244</v>
      </c>
      <c r="E131">
        <v>259065</v>
      </c>
      <c r="F131">
        <v>14.4</v>
      </c>
      <c r="G131">
        <v>24</v>
      </c>
      <c r="H131">
        <v>735</v>
      </c>
      <c r="I131" t="s">
        <v>20</v>
      </c>
      <c r="J131" t="s">
        <v>16</v>
      </c>
      <c r="K131">
        <v>12487</v>
      </c>
      <c r="L131" t="s">
        <v>22</v>
      </c>
      <c r="M131" s="8">
        <v>45123</v>
      </c>
      <c r="N131" t="str">
        <f>_xlfn.XLOOKUP(B131,Customer_Master!A:A,Customer_Master!C:C,"Not Found")</f>
        <v>Mumbai</v>
      </c>
      <c r="O131" t="str">
        <f>_xlfn.XLOOKUP(B131,Customer_Master!A:A,Customer_Master!D:D,"Not Found")</f>
        <v>Business Owner</v>
      </c>
      <c r="P131" t="str">
        <f>_xlfn.XLOOKUP(B131,Customer_Master!A:A,Customer_Master!E:E,"Not Found")</f>
        <v>High</v>
      </c>
      <c r="Q131" t="str" cm="1">
        <f t="array" ref="Q131">_xlfn.IFS(H131&lt;600,"High Risk",H131&lt;=750,"Medium Risk",TRUE,"Low Risk")</f>
        <v>Medium Risk</v>
      </c>
    </row>
    <row r="132" spans="1:17" x14ac:dyDescent="0.3">
      <c r="A132" t="s">
        <v>248</v>
      </c>
      <c r="B132" t="s">
        <v>249</v>
      </c>
      <c r="C132">
        <v>51</v>
      </c>
      <c r="D132">
        <v>189612</v>
      </c>
      <c r="E132">
        <v>758406</v>
      </c>
      <c r="F132">
        <v>11.26</v>
      </c>
      <c r="G132">
        <v>120</v>
      </c>
      <c r="H132">
        <v>485</v>
      </c>
      <c r="I132" t="s">
        <v>20</v>
      </c>
      <c r="J132" t="s">
        <v>39</v>
      </c>
      <c r="K132">
        <v>10559</v>
      </c>
      <c r="L132" t="s">
        <v>22</v>
      </c>
      <c r="M132" s="8">
        <v>45496</v>
      </c>
      <c r="N132" t="str">
        <f>_xlfn.XLOOKUP(B132,Customer_Master!A:A,Customer_Master!C:C,"Not Found")</f>
        <v>Mumbai</v>
      </c>
      <c r="O132" t="str">
        <f>_xlfn.XLOOKUP(B132,Customer_Master!A:A,Customer_Master!D:D,"Not Found")</f>
        <v>Business Owner</v>
      </c>
      <c r="P132" t="str">
        <f>_xlfn.XLOOKUP(B132,Customer_Master!A:A,Customer_Master!E:E,"Not Found")</f>
        <v>Medium</v>
      </c>
      <c r="Q132" t="str" cm="1">
        <f t="array" ref="Q132">_xlfn.IFS(H132&lt;600,"High Risk",H132&lt;=750,"Medium Risk",TRUE,"Low Risk")</f>
        <v>High Risk</v>
      </c>
    </row>
    <row r="133" spans="1:17" x14ac:dyDescent="0.3">
      <c r="A133" t="s">
        <v>250</v>
      </c>
      <c r="B133" t="s">
        <v>169</v>
      </c>
      <c r="C133">
        <v>56</v>
      </c>
      <c r="D133">
        <v>165860</v>
      </c>
      <c r="E133">
        <v>1072273</v>
      </c>
      <c r="F133">
        <v>11.86</v>
      </c>
      <c r="G133">
        <v>12</v>
      </c>
      <c r="H133">
        <v>459</v>
      </c>
      <c r="I133" t="s">
        <v>15</v>
      </c>
      <c r="J133" t="s">
        <v>16</v>
      </c>
      <c r="K133">
        <v>95200</v>
      </c>
      <c r="L133" t="s">
        <v>22</v>
      </c>
      <c r="M133" s="8">
        <v>45033</v>
      </c>
      <c r="N133" t="str">
        <f>_xlfn.XLOOKUP(B133,Customer_Master!A:A,Customer_Master!C:C,"Not Found")</f>
        <v>Hyderabad</v>
      </c>
      <c r="O133" t="str">
        <f>_xlfn.XLOOKUP(B133,Customer_Master!A:A,Customer_Master!D:D,"Not Found")</f>
        <v>Salaried</v>
      </c>
      <c r="P133" t="str">
        <f>_xlfn.XLOOKUP(B133,Customer_Master!A:A,Customer_Master!E:E,"Not Found")</f>
        <v>Medium</v>
      </c>
      <c r="Q133" t="str" cm="1">
        <f t="array" ref="Q133">_xlfn.IFS(H133&lt;600,"High Risk",H133&lt;=750,"Medium Risk",TRUE,"Low Risk")</f>
        <v>High Risk</v>
      </c>
    </row>
    <row r="134" spans="1:17" x14ac:dyDescent="0.3">
      <c r="A134" t="s">
        <v>251</v>
      </c>
      <c r="B134" t="s">
        <v>252</v>
      </c>
      <c r="C134">
        <v>25</v>
      </c>
      <c r="D134">
        <v>41277</v>
      </c>
      <c r="E134">
        <v>418028</v>
      </c>
      <c r="F134">
        <v>12.74</v>
      </c>
      <c r="G134">
        <v>120</v>
      </c>
      <c r="H134">
        <v>603</v>
      </c>
      <c r="I134" t="s">
        <v>31</v>
      </c>
      <c r="J134" t="s">
        <v>39</v>
      </c>
      <c r="K134">
        <v>6178</v>
      </c>
      <c r="L134" t="s">
        <v>22</v>
      </c>
      <c r="M134" s="8">
        <v>45423</v>
      </c>
      <c r="N134" t="str">
        <f>_xlfn.XLOOKUP(B134,Customer_Master!A:A,Customer_Master!C:C,"Not Found")</f>
        <v>Mumbai</v>
      </c>
      <c r="O134" t="str">
        <f>_xlfn.XLOOKUP(B134,Customer_Master!A:A,Customer_Master!D:D,"Not Found")</f>
        <v>Self-Employed</v>
      </c>
      <c r="P134" t="str">
        <f>_xlfn.XLOOKUP(B134,Customer_Master!A:A,Customer_Master!E:E,"Not Found")</f>
        <v>Low</v>
      </c>
      <c r="Q134" t="str" cm="1">
        <f t="array" ref="Q134">_xlfn.IFS(H134&lt;600,"High Risk",H134&lt;=750,"Medium Risk",TRUE,"Low Risk")</f>
        <v>Medium Risk</v>
      </c>
    </row>
    <row r="135" spans="1:17" x14ac:dyDescent="0.3">
      <c r="A135" t="s">
        <v>253</v>
      </c>
      <c r="B135" t="s">
        <v>254</v>
      </c>
      <c r="C135">
        <v>43</v>
      </c>
      <c r="D135">
        <v>190586</v>
      </c>
      <c r="E135">
        <v>341449</v>
      </c>
      <c r="F135">
        <v>13.8</v>
      </c>
      <c r="G135">
        <v>180</v>
      </c>
      <c r="H135">
        <v>693</v>
      </c>
      <c r="I135" t="s">
        <v>15</v>
      </c>
      <c r="J135" t="s">
        <v>16</v>
      </c>
      <c r="K135">
        <v>4501</v>
      </c>
      <c r="L135" t="s">
        <v>17</v>
      </c>
      <c r="M135" s="8">
        <v>45171</v>
      </c>
      <c r="N135" t="str">
        <f>_xlfn.XLOOKUP(B135,Customer_Master!A:A,Customer_Master!C:C,"Not Found")</f>
        <v>Delhi</v>
      </c>
      <c r="O135" t="str">
        <f>_xlfn.XLOOKUP(B135,Customer_Master!A:A,Customer_Master!D:D,"Not Found")</f>
        <v>Self-Employed</v>
      </c>
      <c r="P135" t="str">
        <f>_xlfn.XLOOKUP(B135,Customer_Master!A:A,Customer_Master!E:E,"Not Found")</f>
        <v>Low</v>
      </c>
      <c r="Q135" t="str" cm="1">
        <f t="array" ref="Q135">_xlfn.IFS(H135&lt;600,"High Risk",H135&lt;=750,"Medium Risk",TRUE,"Low Risk")</f>
        <v>Medium Risk</v>
      </c>
    </row>
    <row r="136" spans="1:17" x14ac:dyDescent="0.3">
      <c r="A136" t="s">
        <v>255</v>
      </c>
      <c r="B136" t="s">
        <v>256</v>
      </c>
      <c r="C136">
        <v>52</v>
      </c>
      <c r="D136">
        <v>49537</v>
      </c>
      <c r="E136">
        <v>1407020</v>
      </c>
      <c r="F136">
        <v>8.65</v>
      </c>
      <c r="G136">
        <v>240</v>
      </c>
      <c r="H136">
        <v>668</v>
      </c>
      <c r="I136" t="s">
        <v>20</v>
      </c>
      <c r="J136" t="s">
        <v>39</v>
      </c>
      <c r="K136">
        <v>12344</v>
      </c>
      <c r="L136" t="s">
        <v>17</v>
      </c>
      <c r="M136" s="8">
        <v>45065</v>
      </c>
      <c r="N136" t="str">
        <f>_xlfn.XLOOKUP(B136,Customer_Master!A:A,Customer_Master!C:C,"Not Found")</f>
        <v>Chennai</v>
      </c>
      <c r="O136" t="str">
        <f>_xlfn.XLOOKUP(B136,Customer_Master!A:A,Customer_Master!D:D,"Not Found")</f>
        <v>Self-Employed</v>
      </c>
      <c r="P136" t="str">
        <f>_xlfn.XLOOKUP(B136,Customer_Master!A:A,Customer_Master!E:E,"Not Found")</f>
        <v>High</v>
      </c>
      <c r="Q136" t="str" cm="1">
        <f t="array" ref="Q136">_xlfn.IFS(H136&lt;600,"High Risk",H136&lt;=750,"Medium Risk",TRUE,"Low Risk")</f>
        <v>Medium Risk</v>
      </c>
    </row>
    <row r="137" spans="1:17" x14ac:dyDescent="0.3">
      <c r="A137" t="s">
        <v>257</v>
      </c>
      <c r="B137" t="s">
        <v>258</v>
      </c>
      <c r="C137">
        <v>59</v>
      </c>
      <c r="D137">
        <v>113993</v>
      </c>
      <c r="E137">
        <v>1029104</v>
      </c>
      <c r="F137">
        <v>11.06</v>
      </c>
      <c r="G137">
        <v>60</v>
      </c>
      <c r="H137">
        <v>663</v>
      </c>
      <c r="I137" t="s">
        <v>31</v>
      </c>
      <c r="J137" t="s">
        <v>28</v>
      </c>
      <c r="K137">
        <v>22406</v>
      </c>
      <c r="L137" t="s">
        <v>22</v>
      </c>
      <c r="M137" s="8">
        <v>44794</v>
      </c>
      <c r="N137" t="str">
        <f>_xlfn.XLOOKUP(B137,Customer_Master!A:A,Customer_Master!C:C,"Not Found")</f>
        <v>Bangalore</v>
      </c>
      <c r="O137" t="str">
        <f>_xlfn.XLOOKUP(B137,Customer_Master!A:A,Customer_Master!D:D,"Not Found")</f>
        <v>Business Owner</v>
      </c>
      <c r="P137" t="str">
        <f>_xlfn.XLOOKUP(B137,Customer_Master!A:A,Customer_Master!E:E,"Not Found")</f>
        <v>Medium</v>
      </c>
      <c r="Q137" t="str" cm="1">
        <f t="array" ref="Q137">_xlfn.IFS(H137&lt;600,"High Risk",H137&lt;=750,"Medium Risk",TRUE,"Low Risk")</f>
        <v>Medium Risk</v>
      </c>
    </row>
    <row r="138" spans="1:17" x14ac:dyDescent="0.3">
      <c r="A138" t="s">
        <v>259</v>
      </c>
      <c r="B138" t="s">
        <v>260</v>
      </c>
      <c r="C138">
        <v>50</v>
      </c>
      <c r="D138">
        <v>106968</v>
      </c>
      <c r="E138">
        <v>1654740</v>
      </c>
      <c r="F138">
        <v>10.16</v>
      </c>
      <c r="G138">
        <v>24</v>
      </c>
      <c r="H138">
        <v>787</v>
      </c>
      <c r="I138" t="s">
        <v>27</v>
      </c>
      <c r="J138" t="s">
        <v>21</v>
      </c>
      <c r="K138">
        <v>76480</v>
      </c>
      <c r="L138" t="s">
        <v>22</v>
      </c>
      <c r="M138" s="8">
        <v>44880</v>
      </c>
      <c r="N138" t="str">
        <f>_xlfn.XLOOKUP(B138,Customer_Master!A:A,Customer_Master!C:C,"Not Found")</f>
        <v>Mumbai</v>
      </c>
      <c r="O138" t="str">
        <f>_xlfn.XLOOKUP(B138,Customer_Master!A:A,Customer_Master!D:D,"Not Found")</f>
        <v>Business Owner</v>
      </c>
      <c r="P138" t="str">
        <f>_xlfn.XLOOKUP(B138,Customer_Master!A:A,Customer_Master!E:E,"Not Found")</f>
        <v>Low</v>
      </c>
      <c r="Q138" t="str" cm="1">
        <f t="array" ref="Q138">_xlfn.IFS(H138&lt;600,"High Risk",H138&lt;=750,"Medium Risk",TRUE,"Low Risk")</f>
        <v>Low Risk</v>
      </c>
    </row>
    <row r="139" spans="1:17" x14ac:dyDescent="0.3">
      <c r="A139" t="s">
        <v>261</v>
      </c>
      <c r="B139" t="s">
        <v>262</v>
      </c>
      <c r="C139">
        <v>25</v>
      </c>
      <c r="D139">
        <v>112537</v>
      </c>
      <c r="E139">
        <v>782702</v>
      </c>
      <c r="F139">
        <v>13.88</v>
      </c>
      <c r="G139">
        <v>48</v>
      </c>
      <c r="H139">
        <v>653</v>
      </c>
      <c r="I139" t="s">
        <v>31</v>
      </c>
      <c r="J139" t="s">
        <v>28</v>
      </c>
      <c r="K139">
        <v>21341</v>
      </c>
      <c r="L139" t="s">
        <v>22</v>
      </c>
      <c r="M139" s="8">
        <v>45431</v>
      </c>
      <c r="N139" t="str">
        <f>_xlfn.XLOOKUP(B139,Customer_Master!A:A,Customer_Master!C:C,"Not Found")</f>
        <v>Delhi</v>
      </c>
      <c r="O139" t="str">
        <f>_xlfn.XLOOKUP(B139,Customer_Master!A:A,Customer_Master!D:D,"Not Found")</f>
        <v>Salaried</v>
      </c>
      <c r="P139" t="str">
        <f>_xlfn.XLOOKUP(B139,Customer_Master!A:A,Customer_Master!E:E,"Not Found")</f>
        <v>Low</v>
      </c>
      <c r="Q139" t="str" cm="1">
        <f t="array" ref="Q139">_xlfn.IFS(H139&lt;600,"High Risk",H139&lt;=750,"Medium Risk",TRUE,"Low Risk")</f>
        <v>Medium Risk</v>
      </c>
    </row>
    <row r="140" spans="1:17" x14ac:dyDescent="0.3">
      <c r="A140" t="s">
        <v>263</v>
      </c>
      <c r="B140" t="s">
        <v>135</v>
      </c>
      <c r="C140">
        <v>39</v>
      </c>
      <c r="D140">
        <v>41127</v>
      </c>
      <c r="E140">
        <v>1028225</v>
      </c>
      <c r="F140">
        <v>9.01</v>
      </c>
      <c r="G140">
        <v>240</v>
      </c>
      <c r="H140">
        <v>465</v>
      </c>
      <c r="I140" t="s">
        <v>20</v>
      </c>
      <c r="J140" t="s">
        <v>28</v>
      </c>
      <c r="K140">
        <v>9258</v>
      </c>
      <c r="L140" t="s">
        <v>22</v>
      </c>
      <c r="M140" s="8">
        <v>45231</v>
      </c>
      <c r="N140" t="str">
        <f>_xlfn.XLOOKUP(B140,Customer_Master!A:A,Customer_Master!C:C,"Not Found")</f>
        <v>Bangalore</v>
      </c>
      <c r="O140" t="str">
        <f>_xlfn.XLOOKUP(B140,Customer_Master!A:A,Customer_Master!D:D,"Not Found")</f>
        <v>Self-Employed</v>
      </c>
      <c r="P140" t="str">
        <f>_xlfn.XLOOKUP(B140,Customer_Master!A:A,Customer_Master!E:E,"Not Found")</f>
        <v>Medium</v>
      </c>
      <c r="Q140" t="str" cm="1">
        <f t="array" ref="Q140">_xlfn.IFS(H140&lt;600,"High Risk",H140&lt;=750,"Medium Risk",TRUE,"Low Risk")</f>
        <v>High Risk</v>
      </c>
    </row>
    <row r="141" spans="1:17" x14ac:dyDescent="0.3">
      <c r="A141" t="s">
        <v>264</v>
      </c>
      <c r="B141" t="s">
        <v>265</v>
      </c>
      <c r="C141">
        <v>29</v>
      </c>
      <c r="D141">
        <v>108846</v>
      </c>
      <c r="E141">
        <v>636422</v>
      </c>
      <c r="F141">
        <v>12.56</v>
      </c>
      <c r="G141">
        <v>60</v>
      </c>
      <c r="H141">
        <v>594</v>
      </c>
      <c r="I141" t="s">
        <v>27</v>
      </c>
      <c r="J141" t="s">
        <v>21</v>
      </c>
      <c r="K141">
        <v>14338</v>
      </c>
      <c r="L141" t="s">
        <v>22</v>
      </c>
      <c r="M141" s="8">
        <v>44895</v>
      </c>
      <c r="N141" t="str">
        <f>_xlfn.XLOOKUP(B141,Customer_Master!A:A,Customer_Master!C:C,"Not Found")</f>
        <v>Bangalore</v>
      </c>
      <c r="O141" t="str">
        <f>_xlfn.XLOOKUP(B141,Customer_Master!A:A,Customer_Master!D:D,"Not Found")</f>
        <v>Business Owner</v>
      </c>
      <c r="P141" t="str">
        <f>_xlfn.XLOOKUP(B141,Customer_Master!A:A,Customer_Master!E:E,"Not Found")</f>
        <v>High</v>
      </c>
      <c r="Q141" t="str" cm="1">
        <f t="array" ref="Q141">_xlfn.IFS(H141&lt;600,"High Risk",H141&lt;=750,"Medium Risk",TRUE,"Low Risk")</f>
        <v>High Risk</v>
      </c>
    </row>
    <row r="142" spans="1:17" x14ac:dyDescent="0.3">
      <c r="A142" t="s">
        <v>266</v>
      </c>
      <c r="B142" t="s">
        <v>267</v>
      </c>
      <c r="C142">
        <v>39</v>
      </c>
      <c r="D142">
        <v>124894</v>
      </c>
      <c r="E142">
        <v>1226902</v>
      </c>
      <c r="F142">
        <v>16.13</v>
      </c>
      <c r="G142">
        <v>120</v>
      </c>
      <c r="H142">
        <v>666</v>
      </c>
      <c r="I142" t="s">
        <v>15</v>
      </c>
      <c r="J142" t="s">
        <v>28</v>
      </c>
      <c r="K142">
        <v>20652</v>
      </c>
      <c r="L142" t="s">
        <v>17</v>
      </c>
      <c r="M142" s="8">
        <v>45193</v>
      </c>
      <c r="N142" t="str">
        <f>_xlfn.XLOOKUP(B142,Customer_Master!A:A,Customer_Master!C:C,"Not Found")</f>
        <v>Bangalore</v>
      </c>
      <c r="O142" t="str">
        <f>_xlfn.XLOOKUP(B142,Customer_Master!A:A,Customer_Master!D:D,"Not Found")</f>
        <v>Self-Employed</v>
      </c>
      <c r="P142" t="str">
        <f>_xlfn.XLOOKUP(B142,Customer_Master!A:A,Customer_Master!E:E,"Not Found")</f>
        <v>High</v>
      </c>
      <c r="Q142" t="str" cm="1">
        <f t="array" ref="Q142">_xlfn.IFS(H142&lt;600,"High Risk",H142&lt;=750,"Medium Risk",TRUE,"Low Risk")</f>
        <v>Medium Risk</v>
      </c>
    </row>
    <row r="143" spans="1:17" x14ac:dyDescent="0.3">
      <c r="A143" t="s">
        <v>268</v>
      </c>
      <c r="B143" t="s">
        <v>269</v>
      </c>
      <c r="C143">
        <v>58</v>
      </c>
      <c r="D143">
        <v>185009</v>
      </c>
      <c r="E143">
        <v>1671127</v>
      </c>
      <c r="F143">
        <v>8.1999999999999993</v>
      </c>
      <c r="G143">
        <v>36</v>
      </c>
      <c r="H143">
        <v>654</v>
      </c>
      <c r="I143" t="s">
        <v>15</v>
      </c>
      <c r="J143" t="s">
        <v>16</v>
      </c>
      <c r="K143">
        <v>52521</v>
      </c>
      <c r="L143" t="s">
        <v>17</v>
      </c>
      <c r="M143" s="8">
        <v>44645</v>
      </c>
      <c r="N143" t="str">
        <f>_xlfn.XLOOKUP(B143,Customer_Master!A:A,Customer_Master!C:C,"Not Found")</f>
        <v>Pune</v>
      </c>
      <c r="O143" t="str">
        <f>_xlfn.XLOOKUP(B143,Customer_Master!A:A,Customer_Master!D:D,"Not Found")</f>
        <v>Self-Employed</v>
      </c>
      <c r="P143" t="str">
        <f>_xlfn.XLOOKUP(B143,Customer_Master!A:A,Customer_Master!E:E,"Not Found")</f>
        <v>Low</v>
      </c>
      <c r="Q143" t="str" cm="1">
        <f t="array" ref="Q143">_xlfn.IFS(H143&lt;600,"High Risk",H143&lt;=750,"Medium Risk",TRUE,"Low Risk")</f>
        <v>Medium Risk</v>
      </c>
    </row>
    <row r="144" spans="1:17" x14ac:dyDescent="0.3">
      <c r="A144" t="s">
        <v>270</v>
      </c>
      <c r="B144" t="s">
        <v>254</v>
      </c>
      <c r="C144">
        <v>54</v>
      </c>
      <c r="D144">
        <v>179360</v>
      </c>
      <c r="E144">
        <v>1945100</v>
      </c>
      <c r="F144">
        <v>13.52</v>
      </c>
      <c r="G144">
        <v>36</v>
      </c>
      <c r="H144">
        <v>645</v>
      </c>
      <c r="I144" t="s">
        <v>27</v>
      </c>
      <c r="J144" t="s">
        <v>28</v>
      </c>
      <c r="K144">
        <v>66026</v>
      </c>
      <c r="L144" t="s">
        <v>22</v>
      </c>
      <c r="M144" s="8">
        <v>45544</v>
      </c>
      <c r="N144" t="str">
        <f>_xlfn.XLOOKUP(B144,Customer_Master!A:A,Customer_Master!C:C,"Not Found")</f>
        <v>Delhi</v>
      </c>
      <c r="O144" t="str">
        <f>_xlfn.XLOOKUP(B144,Customer_Master!A:A,Customer_Master!D:D,"Not Found")</f>
        <v>Self-Employed</v>
      </c>
      <c r="P144" t="str">
        <f>_xlfn.XLOOKUP(B144,Customer_Master!A:A,Customer_Master!E:E,"Not Found")</f>
        <v>Low</v>
      </c>
      <c r="Q144" t="str" cm="1">
        <f t="array" ref="Q144">_xlfn.IFS(H144&lt;600,"High Risk",H144&lt;=750,"Medium Risk",TRUE,"Low Risk")</f>
        <v>Medium Risk</v>
      </c>
    </row>
    <row r="145" spans="1:17" x14ac:dyDescent="0.3">
      <c r="A145" t="s">
        <v>271</v>
      </c>
      <c r="B145" t="s">
        <v>196</v>
      </c>
      <c r="C145">
        <v>42</v>
      </c>
      <c r="D145">
        <v>169080</v>
      </c>
      <c r="E145">
        <v>1230828</v>
      </c>
      <c r="F145">
        <v>11.93</v>
      </c>
      <c r="G145">
        <v>36</v>
      </c>
      <c r="H145">
        <v>698</v>
      </c>
      <c r="I145" t="s">
        <v>31</v>
      </c>
      <c r="J145" t="s">
        <v>16</v>
      </c>
      <c r="K145">
        <v>40840</v>
      </c>
      <c r="L145" t="s">
        <v>17</v>
      </c>
      <c r="M145" s="8">
        <v>44841</v>
      </c>
      <c r="N145" t="str">
        <f>_xlfn.XLOOKUP(B145,Customer_Master!A:A,Customer_Master!C:C,"Not Found")</f>
        <v>Delhi</v>
      </c>
      <c r="O145" t="str">
        <f>_xlfn.XLOOKUP(B145,Customer_Master!A:A,Customer_Master!D:D,"Not Found")</f>
        <v>Self-Employed</v>
      </c>
      <c r="P145" t="str">
        <f>_xlfn.XLOOKUP(B145,Customer_Master!A:A,Customer_Master!E:E,"Not Found")</f>
        <v>Low</v>
      </c>
      <c r="Q145" t="str" cm="1">
        <f t="array" ref="Q145">_xlfn.IFS(H145&lt;600,"High Risk",H145&lt;=750,"Medium Risk",TRUE,"Low Risk")</f>
        <v>Medium Risk</v>
      </c>
    </row>
    <row r="146" spans="1:17" x14ac:dyDescent="0.3">
      <c r="A146" t="s">
        <v>272</v>
      </c>
      <c r="B146" t="s">
        <v>201</v>
      </c>
      <c r="C146">
        <v>58</v>
      </c>
      <c r="D146">
        <v>29689</v>
      </c>
      <c r="E146">
        <v>614367</v>
      </c>
      <c r="F146">
        <v>11.11</v>
      </c>
      <c r="G146">
        <v>180</v>
      </c>
      <c r="H146">
        <v>455</v>
      </c>
      <c r="I146" t="s">
        <v>31</v>
      </c>
      <c r="J146" t="s">
        <v>39</v>
      </c>
      <c r="K146">
        <v>7025</v>
      </c>
      <c r="L146" t="s">
        <v>34</v>
      </c>
      <c r="M146" s="8">
        <v>45212</v>
      </c>
      <c r="N146" t="str">
        <f>_xlfn.XLOOKUP(B146,Customer_Master!A:A,Customer_Master!C:C,"Not Found")</f>
        <v>Pune</v>
      </c>
      <c r="O146" t="str">
        <f>_xlfn.XLOOKUP(B146,Customer_Master!A:A,Customer_Master!D:D,"Not Found")</f>
        <v>Business Owner</v>
      </c>
      <c r="P146" t="str">
        <f>_xlfn.XLOOKUP(B146,Customer_Master!A:A,Customer_Master!E:E,"Not Found")</f>
        <v>Medium</v>
      </c>
      <c r="Q146" t="str" cm="1">
        <f t="array" ref="Q146">_xlfn.IFS(H146&lt;600,"High Risk",H146&lt;=750,"Medium Risk",TRUE,"Low Risk")</f>
        <v>High Risk</v>
      </c>
    </row>
    <row r="147" spans="1:17" x14ac:dyDescent="0.3">
      <c r="A147" t="s">
        <v>273</v>
      </c>
      <c r="B147" t="s">
        <v>67</v>
      </c>
      <c r="C147">
        <v>40</v>
      </c>
      <c r="D147">
        <v>30341</v>
      </c>
      <c r="E147">
        <v>1760409</v>
      </c>
      <c r="F147">
        <v>10.220000000000001</v>
      </c>
      <c r="G147">
        <v>12</v>
      </c>
      <c r="H147">
        <v>839</v>
      </c>
      <c r="I147" t="s">
        <v>27</v>
      </c>
      <c r="J147" t="s">
        <v>28</v>
      </c>
      <c r="K147">
        <v>154948</v>
      </c>
      <c r="L147" t="s">
        <v>22</v>
      </c>
      <c r="M147" s="8">
        <v>45017</v>
      </c>
      <c r="N147" t="str">
        <f>_xlfn.XLOOKUP(B147,Customer_Master!A:A,Customer_Master!C:C,"Not Found")</f>
        <v>Hyderabad</v>
      </c>
      <c r="O147" t="str">
        <f>_xlfn.XLOOKUP(B147,Customer_Master!A:A,Customer_Master!D:D,"Not Found")</f>
        <v>Business Owner</v>
      </c>
      <c r="P147" t="str">
        <f>_xlfn.XLOOKUP(B147,Customer_Master!A:A,Customer_Master!E:E,"Not Found")</f>
        <v>High</v>
      </c>
      <c r="Q147" t="str" cm="1">
        <f t="array" ref="Q147">_xlfn.IFS(H147&lt;600,"High Risk",H147&lt;=750,"Medium Risk",TRUE,"Low Risk")</f>
        <v>Low Risk</v>
      </c>
    </row>
    <row r="148" spans="1:17" x14ac:dyDescent="0.3">
      <c r="A148" t="s">
        <v>274</v>
      </c>
      <c r="B148" t="s">
        <v>109</v>
      </c>
      <c r="C148">
        <v>53</v>
      </c>
      <c r="D148">
        <v>151402</v>
      </c>
      <c r="E148">
        <v>1091850</v>
      </c>
      <c r="F148">
        <v>13.44</v>
      </c>
      <c r="G148">
        <v>60</v>
      </c>
      <c r="H148">
        <v>494</v>
      </c>
      <c r="I148" t="s">
        <v>15</v>
      </c>
      <c r="J148" t="s">
        <v>39</v>
      </c>
      <c r="K148">
        <v>25090</v>
      </c>
      <c r="L148" t="s">
        <v>22</v>
      </c>
      <c r="M148" s="8">
        <v>45104</v>
      </c>
      <c r="N148" t="str">
        <f>_xlfn.XLOOKUP(B148,Customer_Master!A:A,Customer_Master!C:C,"Not Found")</f>
        <v>Delhi</v>
      </c>
      <c r="O148" t="str">
        <f>_xlfn.XLOOKUP(B148,Customer_Master!A:A,Customer_Master!D:D,"Not Found")</f>
        <v>Business Owner</v>
      </c>
      <c r="P148" t="str">
        <f>_xlfn.XLOOKUP(B148,Customer_Master!A:A,Customer_Master!E:E,"Not Found")</f>
        <v>High</v>
      </c>
      <c r="Q148" t="str" cm="1">
        <f t="array" ref="Q148">_xlfn.IFS(H148&lt;600,"High Risk",H148&lt;=750,"Medium Risk",TRUE,"Low Risk")</f>
        <v>High Risk</v>
      </c>
    </row>
    <row r="149" spans="1:17" x14ac:dyDescent="0.3">
      <c r="A149" t="s">
        <v>275</v>
      </c>
      <c r="B149" t="s">
        <v>276</v>
      </c>
      <c r="C149">
        <v>50</v>
      </c>
      <c r="D149">
        <v>41529</v>
      </c>
      <c r="E149">
        <v>1833549</v>
      </c>
      <c r="F149">
        <v>9.3800000000000008</v>
      </c>
      <c r="G149">
        <v>12</v>
      </c>
      <c r="H149">
        <v>478</v>
      </c>
      <c r="I149" t="s">
        <v>27</v>
      </c>
      <c r="J149" t="s">
        <v>39</v>
      </c>
      <c r="K149">
        <v>160670</v>
      </c>
      <c r="L149" t="s">
        <v>17</v>
      </c>
      <c r="M149" s="8">
        <v>44926</v>
      </c>
      <c r="N149" t="str">
        <f>_xlfn.XLOOKUP(B149,Customer_Master!A:A,Customer_Master!C:C,"Not Found")</f>
        <v>Pune</v>
      </c>
      <c r="O149" t="str">
        <f>_xlfn.XLOOKUP(B149,Customer_Master!A:A,Customer_Master!D:D,"Not Found")</f>
        <v>Salaried</v>
      </c>
      <c r="P149" t="str">
        <f>_xlfn.XLOOKUP(B149,Customer_Master!A:A,Customer_Master!E:E,"Not Found")</f>
        <v>High</v>
      </c>
      <c r="Q149" t="str" cm="1">
        <f t="array" ref="Q149">_xlfn.IFS(H149&lt;600,"High Risk",H149&lt;=750,"Medium Risk",TRUE,"Low Risk")</f>
        <v>High Risk</v>
      </c>
    </row>
    <row r="150" spans="1:17" x14ac:dyDescent="0.3">
      <c r="A150" t="s">
        <v>277</v>
      </c>
      <c r="B150" t="s">
        <v>71</v>
      </c>
      <c r="C150">
        <v>32</v>
      </c>
      <c r="D150">
        <v>110500</v>
      </c>
      <c r="E150">
        <v>1077731</v>
      </c>
      <c r="F150">
        <v>16.29</v>
      </c>
      <c r="G150">
        <v>24</v>
      </c>
      <c r="H150">
        <v>493</v>
      </c>
      <c r="I150" t="s">
        <v>31</v>
      </c>
      <c r="J150" t="s">
        <v>28</v>
      </c>
      <c r="K150">
        <v>52919</v>
      </c>
      <c r="L150" t="s">
        <v>22</v>
      </c>
      <c r="M150" s="8">
        <v>45434</v>
      </c>
      <c r="N150" t="str">
        <f>_xlfn.XLOOKUP(B150,Customer_Master!A:A,Customer_Master!C:C,"Not Found")</f>
        <v>Pune</v>
      </c>
      <c r="O150" t="str">
        <f>_xlfn.XLOOKUP(B150,Customer_Master!A:A,Customer_Master!D:D,"Not Found")</f>
        <v>Salaried</v>
      </c>
      <c r="P150" t="str">
        <f>_xlfn.XLOOKUP(B150,Customer_Master!A:A,Customer_Master!E:E,"Not Found")</f>
        <v>Medium</v>
      </c>
      <c r="Q150" t="str" cm="1">
        <f t="array" ref="Q150">_xlfn.IFS(H150&lt;600,"High Risk",H150&lt;=750,"Medium Risk",TRUE,"Low Risk")</f>
        <v>High Risk</v>
      </c>
    </row>
    <row r="151" spans="1:17" x14ac:dyDescent="0.3">
      <c r="A151" t="s">
        <v>278</v>
      </c>
      <c r="B151" t="s">
        <v>190</v>
      </c>
      <c r="C151">
        <v>22</v>
      </c>
      <c r="D151">
        <v>76635</v>
      </c>
      <c r="E151">
        <v>1266185</v>
      </c>
      <c r="F151">
        <v>12.93</v>
      </c>
      <c r="G151">
        <v>60</v>
      </c>
      <c r="H151">
        <v>591</v>
      </c>
      <c r="I151" t="s">
        <v>27</v>
      </c>
      <c r="J151" t="s">
        <v>21</v>
      </c>
      <c r="K151">
        <v>28764</v>
      </c>
      <c r="L151" t="s">
        <v>17</v>
      </c>
      <c r="M151" s="8">
        <v>44852</v>
      </c>
      <c r="N151" t="str">
        <f>_xlfn.XLOOKUP(B151,Customer_Master!A:A,Customer_Master!C:C,"Not Found")</f>
        <v>Chennai</v>
      </c>
      <c r="O151" t="str">
        <f>_xlfn.XLOOKUP(B151,Customer_Master!A:A,Customer_Master!D:D,"Not Found")</f>
        <v>Business Owner</v>
      </c>
      <c r="P151" t="str">
        <f>_xlfn.XLOOKUP(B151,Customer_Master!A:A,Customer_Master!E:E,"Not Found")</f>
        <v>Medium</v>
      </c>
      <c r="Q151" t="str" cm="1">
        <f t="array" ref="Q151">_xlfn.IFS(H151&lt;600,"High Risk",H151&lt;=750,"Medium Risk",TRUE,"Low Risk")</f>
        <v>High Risk</v>
      </c>
    </row>
    <row r="152" spans="1:17" x14ac:dyDescent="0.3">
      <c r="A152" t="s">
        <v>279</v>
      </c>
      <c r="B152" t="s">
        <v>280</v>
      </c>
      <c r="C152">
        <v>44</v>
      </c>
      <c r="D152">
        <v>32095</v>
      </c>
      <c r="E152">
        <v>1307793</v>
      </c>
      <c r="F152">
        <v>11.62</v>
      </c>
      <c r="G152">
        <v>24</v>
      </c>
      <c r="H152">
        <v>743</v>
      </c>
      <c r="I152" t="s">
        <v>20</v>
      </c>
      <c r="J152" t="s">
        <v>28</v>
      </c>
      <c r="K152">
        <v>61331</v>
      </c>
      <c r="L152" t="s">
        <v>22</v>
      </c>
      <c r="M152" s="8">
        <v>44599</v>
      </c>
      <c r="N152" t="str">
        <f>_xlfn.XLOOKUP(B152,Customer_Master!A:A,Customer_Master!C:C,"Not Found")</f>
        <v>Mumbai</v>
      </c>
      <c r="O152" t="str">
        <f>_xlfn.XLOOKUP(B152,Customer_Master!A:A,Customer_Master!D:D,"Not Found")</f>
        <v>Business Owner</v>
      </c>
      <c r="P152" t="str">
        <f>_xlfn.XLOOKUP(B152,Customer_Master!A:A,Customer_Master!E:E,"Not Found")</f>
        <v>High</v>
      </c>
      <c r="Q152" t="str" cm="1">
        <f t="array" ref="Q152">_xlfn.IFS(H152&lt;600,"High Risk",H152&lt;=750,"Medium Risk",TRUE,"Low Risk")</f>
        <v>Medium Risk</v>
      </c>
    </row>
    <row r="153" spans="1:17" x14ac:dyDescent="0.3">
      <c r="A153" t="s">
        <v>281</v>
      </c>
      <c r="B153" t="s">
        <v>201</v>
      </c>
      <c r="C153">
        <v>25</v>
      </c>
      <c r="D153">
        <v>42198</v>
      </c>
      <c r="E153">
        <v>1824002</v>
      </c>
      <c r="F153">
        <v>12.27</v>
      </c>
      <c r="G153">
        <v>240</v>
      </c>
      <c r="H153">
        <v>682</v>
      </c>
      <c r="I153" t="s">
        <v>15</v>
      </c>
      <c r="J153" t="s">
        <v>39</v>
      </c>
      <c r="K153">
        <v>20428</v>
      </c>
      <c r="L153" t="s">
        <v>22</v>
      </c>
      <c r="M153" s="8">
        <v>45173</v>
      </c>
      <c r="N153" t="str">
        <f>_xlfn.XLOOKUP(B153,Customer_Master!A:A,Customer_Master!C:C,"Not Found")</f>
        <v>Pune</v>
      </c>
      <c r="O153" t="str">
        <f>_xlfn.XLOOKUP(B153,Customer_Master!A:A,Customer_Master!D:D,"Not Found")</f>
        <v>Business Owner</v>
      </c>
      <c r="P153" t="str">
        <f>_xlfn.XLOOKUP(B153,Customer_Master!A:A,Customer_Master!E:E,"Not Found")</f>
        <v>Medium</v>
      </c>
      <c r="Q153" t="str" cm="1">
        <f t="array" ref="Q153">_xlfn.IFS(H153&lt;600,"High Risk",H153&lt;=750,"Medium Risk",TRUE,"Low Risk")</f>
        <v>Medium Risk</v>
      </c>
    </row>
    <row r="154" spans="1:17" x14ac:dyDescent="0.3">
      <c r="A154" t="s">
        <v>282</v>
      </c>
      <c r="B154" t="s">
        <v>148</v>
      </c>
      <c r="C154">
        <v>29</v>
      </c>
      <c r="D154">
        <v>188266</v>
      </c>
      <c r="E154">
        <v>1215326</v>
      </c>
      <c r="F154">
        <v>15.33</v>
      </c>
      <c r="G154">
        <v>180</v>
      </c>
      <c r="H154">
        <v>719</v>
      </c>
      <c r="I154" t="s">
        <v>27</v>
      </c>
      <c r="J154" t="s">
        <v>21</v>
      </c>
      <c r="K154">
        <v>17285</v>
      </c>
      <c r="L154" t="s">
        <v>17</v>
      </c>
      <c r="M154" s="8">
        <v>45303</v>
      </c>
      <c r="N154" t="str">
        <f>_xlfn.XLOOKUP(B154,Customer_Master!A:A,Customer_Master!C:C,"Not Found")</f>
        <v>Chennai</v>
      </c>
      <c r="O154" t="str">
        <f>_xlfn.XLOOKUP(B154,Customer_Master!A:A,Customer_Master!D:D,"Not Found")</f>
        <v>Self-Employed</v>
      </c>
      <c r="P154" t="str">
        <f>_xlfn.XLOOKUP(B154,Customer_Master!A:A,Customer_Master!E:E,"Not Found")</f>
        <v>Low</v>
      </c>
      <c r="Q154" t="str" cm="1">
        <f t="array" ref="Q154">_xlfn.IFS(H154&lt;600,"High Risk",H154&lt;=750,"Medium Risk",TRUE,"Low Risk")</f>
        <v>Medium Risk</v>
      </c>
    </row>
    <row r="155" spans="1:17" x14ac:dyDescent="0.3">
      <c r="A155" t="s">
        <v>283</v>
      </c>
      <c r="B155" t="s">
        <v>284</v>
      </c>
      <c r="C155">
        <v>22</v>
      </c>
      <c r="D155">
        <v>34266</v>
      </c>
      <c r="E155">
        <v>1646805</v>
      </c>
      <c r="F155">
        <v>8.7200000000000006</v>
      </c>
      <c r="G155">
        <v>180</v>
      </c>
      <c r="H155">
        <v>650</v>
      </c>
      <c r="I155" t="s">
        <v>27</v>
      </c>
      <c r="J155" t="s">
        <v>39</v>
      </c>
      <c r="K155">
        <v>16430</v>
      </c>
      <c r="L155" t="s">
        <v>22</v>
      </c>
      <c r="M155" s="8">
        <v>44827</v>
      </c>
      <c r="N155" t="str">
        <f>_xlfn.XLOOKUP(B155,Customer_Master!A:A,Customer_Master!C:C,"Not Found")</f>
        <v>Mumbai</v>
      </c>
      <c r="O155" t="str">
        <f>_xlfn.XLOOKUP(B155,Customer_Master!A:A,Customer_Master!D:D,"Not Found")</f>
        <v>Salaried</v>
      </c>
      <c r="P155" t="str">
        <f>_xlfn.XLOOKUP(B155,Customer_Master!A:A,Customer_Master!E:E,"Not Found")</f>
        <v>Low</v>
      </c>
      <c r="Q155" t="str" cm="1">
        <f t="array" ref="Q155">_xlfn.IFS(H155&lt;600,"High Risk",H155&lt;=750,"Medium Risk",TRUE,"Low Risk")</f>
        <v>Medium Risk</v>
      </c>
    </row>
    <row r="156" spans="1:17" x14ac:dyDescent="0.3">
      <c r="A156" t="s">
        <v>285</v>
      </c>
      <c r="B156" t="s">
        <v>286</v>
      </c>
      <c r="C156">
        <v>42</v>
      </c>
      <c r="D156">
        <v>173467</v>
      </c>
      <c r="E156">
        <v>1172998</v>
      </c>
      <c r="F156">
        <v>13.67</v>
      </c>
      <c r="G156">
        <v>60</v>
      </c>
      <c r="H156">
        <v>765</v>
      </c>
      <c r="I156" t="s">
        <v>20</v>
      </c>
      <c r="J156" t="s">
        <v>16</v>
      </c>
      <c r="K156">
        <v>27093</v>
      </c>
      <c r="L156" t="s">
        <v>17</v>
      </c>
      <c r="M156" s="8">
        <v>45429</v>
      </c>
      <c r="N156" t="str">
        <f>_xlfn.XLOOKUP(B156,Customer_Master!A:A,Customer_Master!C:C,"Not Found")</f>
        <v>Pune</v>
      </c>
      <c r="O156" t="str">
        <f>_xlfn.XLOOKUP(B156,Customer_Master!A:A,Customer_Master!D:D,"Not Found")</f>
        <v>Salaried</v>
      </c>
      <c r="P156" t="str">
        <f>_xlfn.XLOOKUP(B156,Customer_Master!A:A,Customer_Master!E:E,"Not Found")</f>
        <v>High</v>
      </c>
      <c r="Q156" t="str" cm="1">
        <f t="array" ref="Q156">_xlfn.IFS(H156&lt;600,"High Risk",H156&lt;=750,"Medium Risk",TRUE,"Low Risk")</f>
        <v>Low Risk</v>
      </c>
    </row>
    <row r="157" spans="1:17" x14ac:dyDescent="0.3">
      <c r="A157" t="s">
        <v>287</v>
      </c>
      <c r="B157" t="s">
        <v>288</v>
      </c>
      <c r="C157">
        <v>52</v>
      </c>
      <c r="D157">
        <v>44057</v>
      </c>
      <c r="E157">
        <v>1196601</v>
      </c>
      <c r="F157">
        <v>7.55</v>
      </c>
      <c r="G157">
        <v>240</v>
      </c>
      <c r="H157">
        <v>847</v>
      </c>
      <c r="I157" t="s">
        <v>15</v>
      </c>
      <c r="J157" t="s">
        <v>21</v>
      </c>
      <c r="K157">
        <v>9676</v>
      </c>
      <c r="L157" t="s">
        <v>22</v>
      </c>
      <c r="M157" s="8">
        <v>45472</v>
      </c>
      <c r="N157" t="str">
        <f>_xlfn.XLOOKUP(B157,Customer_Master!A:A,Customer_Master!C:C,"Not Found")</f>
        <v>Delhi</v>
      </c>
      <c r="O157" t="str">
        <f>_xlfn.XLOOKUP(B157,Customer_Master!A:A,Customer_Master!D:D,"Not Found")</f>
        <v>Self-Employed</v>
      </c>
      <c r="P157" t="str">
        <f>_xlfn.XLOOKUP(B157,Customer_Master!A:A,Customer_Master!E:E,"Not Found")</f>
        <v>Medium</v>
      </c>
      <c r="Q157" t="str" cm="1">
        <f t="array" ref="Q157">_xlfn.IFS(H157&lt;600,"High Risk",H157&lt;=750,"Medium Risk",TRUE,"Low Risk")</f>
        <v>Low Risk</v>
      </c>
    </row>
    <row r="158" spans="1:17" x14ac:dyDescent="0.3">
      <c r="A158" t="s">
        <v>289</v>
      </c>
      <c r="B158" t="s">
        <v>290</v>
      </c>
      <c r="C158">
        <v>60</v>
      </c>
      <c r="D158">
        <v>63055</v>
      </c>
      <c r="E158">
        <v>293697</v>
      </c>
      <c r="F158">
        <v>8.9</v>
      </c>
      <c r="G158">
        <v>24</v>
      </c>
      <c r="H158">
        <v>742</v>
      </c>
      <c r="I158" t="s">
        <v>27</v>
      </c>
      <c r="J158" t="s">
        <v>28</v>
      </c>
      <c r="K158">
        <v>13404</v>
      </c>
      <c r="L158" t="s">
        <v>22</v>
      </c>
      <c r="M158" s="8">
        <v>44719</v>
      </c>
      <c r="N158" t="str">
        <f>_xlfn.XLOOKUP(B158,Customer_Master!A:A,Customer_Master!C:C,"Not Found")</f>
        <v>Mumbai</v>
      </c>
      <c r="O158" t="str">
        <f>_xlfn.XLOOKUP(B158,Customer_Master!A:A,Customer_Master!D:D,"Not Found")</f>
        <v>Salaried</v>
      </c>
      <c r="P158" t="str">
        <f>_xlfn.XLOOKUP(B158,Customer_Master!A:A,Customer_Master!E:E,"Not Found")</f>
        <v>Medium</v>
      </c>
      <c r="Q158" t="str" cm="1">
        <f t="array" ref="Q158">_xlfn.IFS(H158&lt;600,"High Risk",H158&lt;=750,"Medium Risk",TRUE,"Low Risk")</f>
        <v>Medium Risk</v>
      </c>
    </row>
    <row r="159" spans="1:17" x14ac:dyDescent="0.3">
      <c r="A159" t="s">
        <v>291</v>
      </c>
      <c r="B159" t="s">
        <v>26</v>
      </c>
      <c r="C159">
        <v>60</v>
      </c>
      <c r="D159">
        <v>149313</v>
      </c>
      <c r="E159">
        <v>543233</v>
      </c>
      <c r="F159">
        <v>11.42</v>
      </c>
      <c r="G159">
        <v>180</v>
      </c>
      <c r="H159">
        <v>632</v>
      </c>
      <c r="I159" t="s">
        <v>31</v>
      </c>
      <c r="J159" t="s">
        <v>21</v>
      </c>
      <c r="K159">
        <v>6318</v>
      </c>
      <c r="L159" t="s">
        <v>22</v>
      </c>
      <c r="M159" s="8">
        <v>45289</v>
      </c>
      <c r="N159" t="str">
        <f>_xlfn.XLOOKUP(B159,Customer_Master!A:A,Customer_Master!C:C,"Not Found")</f>
        <v>Chennai</v>
      </c>
      <c r="O159" t="str">
        <f>_xlfn.XLOOKUP(B159,Customer_Master!A:A,Customer_Master!D:D,"Not Found")</f>
        <v>Business Owner</v>
      </c>
      <c r="P159" t="str">
        <f>_xlfn.XLOOKUP(B159,Customer_Master!A:A,Customer_Master!E:E,"Not Found")</f>
        <v>High</v>
      </c>
      <c r="Q159" t="str" cm="1">
        <f t="array" ref="Q159">_xlfn.IFS(H159&lt;600,"High Risk",H159&lt;=750,"Medium Risk",TRUE,"Low Risk")</f>
        <v>Medium Risk</v>
      </c>
    </row>
    <row r="160" spans="1:17" x14ac:dyDescent="0.3">
      <c r="A160" t="s">
        <v>292</v>
      </c>
      <c r="B160" t="s">
        <v>293</v>
      </c>
      <c r="C160">
        <v>34</v>
      </c>
      <c r="D160">
        <v>129154</v>
      </c>
      <c r="E160">
        <v>892289</v>
      </c>
      <c r="F160">
        <v>14.21</v>
      </c>
      <c r="G160">
        <v>60</v>
      </c>
      <c r="H160">
        <v>494</v>
      </c>
      <c r="I160" t="s">
        <v>20</v>
      </c>
      <c r="J160" t="s">
        <v>16</v>
      </c>
      <c r="K160">
        <v>20859</v>
      </c>
      <c r="L160" t="s">
        <v>34</v>
      </c>
      <c r="M160" s="8">
        <v>45018</v>
      </c>
      <c r="N160" t="str">
        <f>_xlfn.XLOOKUP(B160,Customer_Master!A:A,Customer_Master!C:C,"Not Found")</f>
        <v>Delhi</v>
      </c>
      <c r="O160" t="str">
        <f>_xlfn.XLOOKUP(B160,Customer_Master!A:A,Customer_Master!D:D,"Not Found")</f>
        <v>Salaried</v>
      </c>
      <c r="P160" t="str">
        <f>_xlfn.XLOOKUP(B160,Customer_Master!A:A,Customer_Master!E:E,"Not Found")</f>
        <v>High</v>
      </c>
      <c r="Q160" t="str" cm="1">
        <f t="array" ref="Q160">_xlfn.IFS(H160&lt;600,"High Risk",H160&lt;=750,"Medium Risk",TRUE,"Low Risk")</f>
        <v>High Risk</v>
      </c>
    </row>
    <row r="161" spans="1:17" x14ac:dyDescent="0.3">
      <c r="A161" t="s">
        <v>294</v>
      </c>
      <c r="B161" t="s">
        <v>293</v>
      </c>
      <c r="C161">
        <v>58</v>
      </c>
      <c r="D161">
        <v>158034</v>
      </c>
      <c r="E161">
        <v>123076</v>
      </c>
      <c r="F161">
        <v>10.57</v>
      </c>
      <c r="G161">
        <v>24</v>
      </c>
      <c r="H161">
        <v>843</v>
      </c>
      <c r="I161" t="s">
        <v>20</v>
      </c>
      <c r="J161" t="s">
        <v>16</v>
      </c>
      <c r="K161">
        <v>5712</v>
      </c>
      <c r="L161" t="s">
        <v>22</v>
      </c>
      <c r="M161" s="8">
        <v>44897</v>
      </c>
      <c r="N161" t="str">
        <f>_xlfn.XLOOKUP(B161,Customer_Master!A:A,Customer_Master!C:C,"Not Found")</f>
        <v>Delhi</v>
      </c>
      <c r="O161" t="str">
        <f>_xlfn.XLOOKUP(B161,Customer_Master!A:A,Customer_Master!D:D,"Not Found")</f>
        <v>Salaried</v>
      </c>
      <c r="P161" t="str">
        <f>_xlfn.XLOOKUP(B161,Customer_Master!A:A,Customer_Master!E:E,"Not Found")</f>
        <v>High</v>
      </c>
      <c r="Q161" t="str" cm="1">
        <f t="array" ref="Q161">_xlfn.IFS(H161&lt;600,"High Risk",H161&lt;=750,"Medium Risk",TRUE,"Low Risk")</f>
        <v>Low Risk</v>
      </c>
    </row>
    <row r="162" spans="1:17" x14ac:dyDescent="0.3">
      <c r="A162" t="s">
        <v>295</v>
      </c>
      <c r="B162" t="s">
        <v>296</v>
      </c>
      <c r="C162">
        <v>32</v>
      </c>
      <c r="D162">
        <v>31896</v>
      </c>
      <c r="E162">
        <v>1086448</v>
      </c>
      <c r="F162">
        <v>9.3000000000000007</v>
      </c>
      <c r="G162">
        <v>240</v>
      </c>
      <c r="H162">
        <v>677</v>
      </c>
      <c r="I162" t="s">
        <v>31</v>
      </c>
      <c r="J162" t="s">
        <v>21</v>
      </c>
      <c r="K162">
        <v>9986</v>
      </c>
      <c r="L162" t="s">
        <v>22</v>
      </c>
      <c r="M162" s="8">
        <v>44926</v>
      </c>
      <c r="N162" t="str">
        <f>_xlfn.XLOOKUP(B162,Customer_Master!A:A,Customer_Master!C:C,"Not Found")</f>
        <v>Hyderabad</v>
      </c>
      <c r="O162" t="str">
        <f>_xlfn.XLOOKUP(B162,Customer_Master!A:A,Customer_Master!D:D,"Not Found")</f>
        <v>Business Owner</v>
      </c>
      <c r="P162" t="str">
        <f>_xlfn.XLOOKUP(B162,Customer_Master!A:A,Customer_Master!E:E,"Not Found")</f>
        <v>High</v>
      </c>
      <c r="Q162" t="str" cm="1">
        <f t="array" ref="Q162">_xlfn.IFS(H162&lt;600,"High Risk",H162&lt;=750,"Medium Risk",TRUE,"Low Risk")</f>
        <v>Medium Risk</v>
      </c>
    </row>
    <row r="163" spans="1:17" x14ac:dyDescent="0.3">
      <c r="A163" t="s">
        <v>297</v>
      </c>
      <c r="B163" t="s">
        <v>30</v>
      </c>
      <c r="C163">
        <v>23</v>
      </c>
      <c r="D163">
        <v>152309</v>
      </c>
      <c r="E163">
        <v>1006304</v>
      </c>
      <c r="F163">
        <v>15.2</v>
      </c>
      <c r="G163">
        <v>180</v>
      </c>
      <c r="H163">
        <v>645</v>
      </c>
      <c r="I163" t="s">
        <v>20</v>
      </c>
      <c r="J163" t="s">
        <v>16</v>
      </c>
      <c r="K163">
        <v>14222</v>
      </c>
      <c r="L163" t="s">
        <v>17</v>
      </c>
      <c r="M163" s="8">
        <v>45336</v>
      </c>
      <c r="N163" t="str">
        <f>_xlfn.XLOOKUP(B163,Customer_Master!A:A,Customer_Master!C:C,"Not Found")</f>
        <v>Delhi</v>
      </c>
      <c r="O163" t="str">
        <f>_xlfn.XLOOKUP(B163,Customer_Master!A:A,Customer_Master!D:D,"Not Found")</f>
        <v>Business Owner</v>
      </c>
      <c r="P163" t="str">
        <f>_xlfn.XLOOKUP(B163,Customer_Master!A:A,Customer_Master!E:E,"Not Found")</f>
        <v>High</v>
      </c>
      <c r="Q163" t="str" cm="1">
        <f t="array" ref="Q163">_xlfn.IFS(H163&lt;600,"High Risk",H163&lt;=750,"Medium Risk",TRUE,"Low Risk")</f>
        <v>Medium Risk</v>
      </c>
    </row>
    <row r="164" spans="1:17" x14ac:dyDescent="0.3">
      <c r="A164" t="s">
        <v>298</v>
      </c>
      <c r="B164" t="s">
        <v>109</v>
      </c>
      <c r="C164">
        <v>32</v>
      </c>
      <c r="D164">
        <v>85091</v>
      </c>
      <c r="E164">
        <v>1543168</v>
      </c>
      <c r="F164">
        <v>9.81</v>
      </c>
      <c r="G164">
        <v>36</v>
      </c>
      <c r="H164">
        <v>637</v>
      </c>
      <c r="I164" t="s">
        <v>27</v>
      </c>
      <c r="J164" t="s">
        <v>39</v>
      </c>
      <c r="K164">
        <v>49656</v>
      </c>
      <c r="L164" t="s">
        <v>17</v>
      </c>
      <c r="M164" s="8">
        <v>45076</v>
      </c>
      <c r="N164" t="str">
        <f>_xlfn.XLOOKUP(B164,Customer_Master!A:A,Customer_Master!C:C,"Not Found")</f>
        <v>Delhi</v>
      </c>
      <c r="O164" t="str">
        <f>_xlfn.XLOOKUP(B164,Customer_Master!A:A,Customer_Master!D:D,"Not Found")</f>
        <v>Business Owner</v>
      </c>
      <c r="P164" t="str">
        <f>_xlfn.XLOOKUP(B164,Customer_Master!A:A,Customer_Master!E:E,"Not Found")</f>
        <v>High</v>
      </c>
      <c r="Q164" t="str" cm="1">
        <f t="array" ref="Q164">_xlfn.IFS(H164&lt;600,"High Risk",H164&lt;=750,"Medium Risk",TRUE,"Low Risk")</f>
        <v>Medium Risk</v>
      </c>
    </row>
    <row r="165" spans="1:17" x14ac:dyDescent="0.3">
      <c r="A165" t="s">
        <v>299</v>
      </c>
      <c r="B165" t="s">
        <v>300</v>
      </c>
      <c r="C165">
        <v>34</v>
      </c>
      <c r="D165">
        <v>150065</v>
      </c>
      <c r="E165">
        <v>1296032</v>
      </c>
      <c r="F165">
        <v>10.34</v>
      </c>
      <c r="G165">
        <v>120</v>
      </c>
      <c r="H165">
        <v>539</v>
      </c>
      <c r="I165" t="s">
        <v>27</v>
      </c>
      <c r="J165" t="s">
        <v>16</v>
      </c>
      <c r="K165">
        <v>17372</v>
      </c>
      <c r="L165" t="s">
        <v>17</v>
      </c>
      <c r="M165" s="8">
        <v>45109</v>
      </c>
      <c r="N165" t="str">
        <f>_xlfn.XLOOKUP(B165,Customer_Master!A:A,Customer_Master!C:C,"Not Found")</f>
        <v>Chennai</v>
      </c>
      <c r="O165" t="str">
        <f>_xlfn.XLOOKUP(B165,Customer_Master!A:A,Customer_Master!D:D,"Not Found")</f>
        <v>Business Owner</v>
      </c>
      <c r="P165" t="str">
        <f>_xlfn.XLOOKUP(B165,Customer_Master!A:A,Customer_Master!E:E,"Not Found")</f>
        <v>Low</v>
      </c>
      <c r="Q165" t="str" cm="1">
        <f t="array" ref="Q165">_xlfn.IFS(H165&lt;600,"High Risk",H165&lt;=750,"Medium Risk",TRUE,"Low Risk")</f>
        <v>High Risk</v>
      </c>
    </row>
    <row r="166" spans="1:17" x14ac:dyDescent="0.3">
      <c r="A166" t="s">
        <v>301</v>
      </c>
      <c r="B166" t="s">
        <v>302</v>
      </c>
      <c r="C166">
        <v>50</v>
      </c>
      <c r="D166">
        <v>78180</v>
      </c>
      <c r="E166">
        <v>1203137</v>
      </c>
      <c r="F166">
        <v>15.83</v>
      </c>
      <c r="G166">
        <v>12</v>
      </c>
      <c r="H166">
        <v>476</v>
      </c>
      <c r="I166" t="s">
        <v>15</v>
      </c>
      <c r="J166" t="s">
        <v>16</v>
      </c>
      <c r="K166">
        <v>109065</v>
      </c>
      <c r="L166" t="s">
        <v>34</v>
      </c>
      <c r="M166" s="8">
        <v>45117</v>
      </c>
      <c r="N166" t="str">
        <f>_xlfn.XLOOKUP(B166,Customer_Master!A:A,Customer_Master!C:C,"Not Found")</f>
        <v>Mumbai</v>
      </c>
      <c r="O166" t="str">
        <f>_xlfn.XLOOKUP(B166,Customer_Master!A:A,Customer_Master!D:D,"Not Found")</f>
        <v>Self-Employed</v>
      </c>
      <c r="P166" t="str">
        <f>_xlfn.XLOOKUP(B166,Customer_Master!A:A,Customer_Master!E:E,"Not Found")</f>
        <v>Medium</v>
      </c>
      <c r="Q166" t="str" cm="1">
        <f t="array" ref="Q166">_xlfn.IFS(H166&lt;600,"High Risk",H166&lt;=750,"Medium Risk",TRUE,"Low Risk")</f>
        <v>High Risk</v>
      </c>
    </row>
    <row r="167" spans="1:17" x14ac:dyDescent="0.3">
      <c r="A167" t="s">
        <v>303</v>
      </c>
      <c r="B167" t="s">
        <v>260</v>
      </c>
      <c r="C167">
        <v>50</v>
      </c>
      <c r="D167">
        <v>82441</v>
      </c>
      <c r="E167">
        <v>154651</v>
      </c>
      <c r="F167">
        <v>14.68</v>
      </c>
      <c r="G167">
        <v>60</v>
      </c>
      <c r="H167">
        <v>744</v>
      </c>
      <c r="I167" t="s">
        <v>31</v>
      </c>
      <c r="J167" t="s">
        <v>39</v>
      </c>
      <c r="K167">
        <v>3653</v>
      </c>
      <c r="L167" t="s">
        <v>22</v>
      </c>
      <c r="M167" s="8">
        <v>44862</v>
      </c>
      <c r="N167" t="str">
        <f>_xlfn.XLOOKUP(B167,Customer_Master!A:A,Customer_Master!C:C,"Not Found")</f>
        <v>Mumbai</v>
      </c>
      <c r="O167" t="str">
        <f>_xlfn.XLOOKUP(B167,Customer_Master!A:A,Customer_Master!D:D,"Not Found")</f>
        <v>Business Owner</v>
      </c>
      <c r="P167" t="str">
        <f>_xlfn.XLOOKUP(B167,Customer_Master!A:A,Customer_Master!E:E,"Not Found")</f>
        <v>Low</v>
      </c>
      <c r="Q167" t="str" cm="1">
        <f t="array" ref="Q167">_xlfn.IFS(H167&lt;600,"High Risk",H167&lt;=750,"Medium Risk",TRUE,"Low Risk")</f>
        <v>Medium Risk</v>
      </c>
    </row>
    <row r="168" spans="1:17" x14ac:dyDescent="0.3">
      <c r="A168" t="s">
        <v>304</v>
      </c>
      <c r="B168" t="s">
        <v>288</v>
      </c>
      <c r="C168">
        <v>58</v>
      </c>
      <c r="D168">
        <v>57760</v>
      </c>
      <c r="E168">
        <v>1976065</v>
      </c>
      <c r="F168">
        <v>8.3699999999999992</v>
      </c>
      <c r="G168">
        <v>12</v>
      </c>
      <c r="H168">
        <v>459</v>
      </c>
      <c r="I168" t="s">
        <v>20</v>
      </c>
      <c r="J168" t="s">
        <v>21</v>
      </c>
      <c r="K168">
        <v>172233</v>
      </c>
      <c r="L168" t="s">
        <v>22</v>
      </c>
      <c r="M168" s="8">
        <v>44848</v>
      </c>
      <c r="N168" t="str">
        <f>_xlfn.XLOOKUP(B168,Customer_Master!A:A,Customer_Master!C:C,"Not Found")</f>
        <v>Delhi</v>
      </c>
      <c r="O168" t="str">
        <f>_xlfn.XLOOKUP(B168,Customer_Master!A:A,Customer_Master!D:D,"Not Found")</f>
        <v>Self-Employed</v>
      </c>
      <c r="P168" t="str">
        <f>_xlfn.XLOOKUP(B168,Customer_Master!A:A,Customer_Master!E:E,"Not Found")</f>
        <v>Medium</v>
      </c>
      <c r="Q168" t="str" cm="1">
        <f t="array" ref="Q168">_xlfn.IFS(H168&lt;600,"High Risk",H168&lt;=750,"Medium Risk",TRUE,"Low Risk")</f>
        <v>High Risk</v>
      </c>
    </row>
    <row r="169" spans="1:17" x14ac:dyDescent="0.3">
      <c r="A169" t="s">
        <v>305</v>
      </c>
      <c r="B169" t="s">
        <v>306</v>
      </c>
      <c r="C169">
        <v>44</v>
      </c>
      <c r="D169">
        <v>195762</v>
      </c>
      <c r="E169">
        <v>1227851</v>
      </c>
      <c r="F169">
        <v>12.41</v>
      </c>
      <c r="G169">
        <v>240</v>
      </c>
      <c r="H169">
        <v>715</v>
      </c>
      <c r="I169" t="s">
        <v>27</v>
      </c>
      <c r="J169" t="s">
        <v>39</v>
      </c>
      <c r="K169">
        <v>13872</v>
      </c>
      <c r="L169" t="s">
        <v>22</v>
      </c>
      <c r="M169" s="8">
        <v>45502</v>
      </c>
      <c r="N169" t="str">
        <f>_xlfn.XLOOKUP(B169,Customer_Master!A:A,Customer_Master!C:C,"Not Found")</f>
        <v>Hyderabad</v>
      </c>
      <c r="O169" t="str">
        <f>_xlfn.XLOOKUP(B169,Customer_Master!A:A,Customer_Master!D:D,"Not Found")</f>
        <v>Salaried</v>
      </c>
      <c r="P169" t="str">
        <f>_xlfn.XLOOKUP(B169,Customer_Master!A:A,Customer_Master!E:E,"Not Found")</f>
        <v>Medium</v>
      </c>
      <c r="Q169" t="str" cm="1">
        <f t="array" ref="Q169">_xlfn.IFS(H169&lt;600,"High Risk",H169&lt;=750,"Medium Risk",TRUE,"Low Risk")</f>
        <v>Medium Risk</v>
      </c>
    </row>
    <row r="170" spans="1:17" x14ac:dyDescent="0.3">
      <c r="A170" t="s">
        <v>307</v>
      </c>
      <c r="B170" t="s">
        <v>97</v>
      </c>
      <c r="C170">
        <v>27</v>
      </c>
      <c r="D170">
        <v>175829</v>
      </c>
      <c r="E170">
        <v>1661378</v>
      </c>
      <c r="F170">
        <v>15.35</v>
      </c>
      <c r="G170">
        <v>24</v>
      </c>
      <c r="H170">
        <v>735</v>
      </c>
      <c r="I170" t="s">
        <v>31</v>
      </c>
      <c r="J170" t="s">
        <v>21</v>
      </c>
      <c r="K170">
        <v>80831</v>
      </c>
      <c r="L170" t="s">
        <v>22</v>
      </c>
      <c r="M170" s="8">
        <v>44850</v>
      </c>
      <c r="N170" t="str">
        <f>_xlfn.XLOOKUP(B170,Customer_Master!A:A,Customer_Master!C:C,"Not Found")</f>
        <v>Chennai</v>
      </c>
      <c r="O170" t="str">
        <f>_xlfn.XLOOKUP(B170,Customer_Master!A:A,Customer_Master!D:D,"Not Found")</f>
        <v>Business Owner</v>
      </c>
      <c r="P170" t="str">
        <f>_xlfn.XLOOKUP(B170,Customer_Master!A:A,Customer_Master!E:E,"Not Found")</f>
        <v>High</v>
      </c>
      <c r="Q170" t="str" cm="1">
        <f t="array" ref="Q170">_xlfn.IFS(H170&lt;600,"High Risk",H170&lt;=750,"Medium Risk",TRUE,"Low Risk")</f>
        <v>Medium Risk</v>
      </c>
    </row>
    <row r="171" spans="1:17" x14ac:dyDescent="0.3">
      <c r="A171" t="s">
        <v>308</v>
      </c>
      <c r="B171" t="s">
        <v>207</v>
      </c>
      <c r="C171">
        <v>23</v>
      </c>
      <c r="D171">
        <v>127652</v>
      </c>
      <c r="E171">
        <v>884892</v>
      </c>
      <c r="F171">
        <v>10.050000000000001</v>
      </c>
      <c r="G171">
        <v>12</v>
      </c>
      <c r="H171">
        <v>823</v>
      </c>
      <c r="I171" t="s">
        <v>27</v>
      </c>
      <c r="J171" t="s">
        <v>16</v>
      </c>
      <c r="K171">
        <v>77817</v>
      </c>
      <c r="L171" t="s">
        <v>17</v>
      </c>
      <c r="M171" s="8">
        <v>45215</v>
      </c>
      <c r="N171" t="str">
        <f>_xlfn.XLOOKUP(B171,Customer_Master!A:A,Customer_Master!C:C,"Not Found")</f>
        <v>Mumbai</v>
      </c>
      <c r="O171" t="str">
        <f>_xlfn.XLOOKUP(B171,Customer_Master!A:A,Customer_Master!D:D,"Not Found")</f>
        <v>Salaried</v>
      </c>
      <c r="P171" t="str">
        <f>_xlfn.XLOOKUP(B171,Customer_Master!A:A,Customer_Master!E:E,"Not Found")</f>
        <v>Low</v>
      </c>
      <c r="Q171" t="str" cm="1">
        <f t="array" ref="Q171">_xlfn.IFS(H171&lt;600,"High Risk",H171&lt;=750,"Medium Risk",TRUE,"Low Risk")</f>
        <v>Low Risk</v>
      </c>
    </row>
    <row r="172" spans="1:17" x14ac:dyDescent="0.3">
      <c r="A172" t="s">
        <v>309</v>
      </c>
      <c r="B172" t="s">
        <v>310</v>
      </c>
      <c r="C172">
        <v>30</v>
      </c>
      <c r="D172">
        <v>169987</v>
      </c>
      <c r="E172">
        <v>934233</v>
      </c>
      <c r="F172">
        <v>12.9</v>
      </c>
      <c r="G172">
        <v>24</v>
      </c>
      <c r="H172">
        <v>623</v>
      </c>
      <c r="I172" t="s">
        <v>31</v>
      </c>
      <c r="J172" t="s">
        <v>21</v>
      </c>
      <c r="K172">
        <v>44371</v>
      </c>
      <c r="L172" t="s">
        <v>22</v>
      </c>
      <c r="M172" s="8">
        <v>44581</v>
      </c>
      <c r="N172" t="str">
        <f>_xlfn.XLOOKUP(B172,Customer_Master!A:A,Customer_Master!C:C,"Not Found")</f>
        <v>Bangalore</v>
      </c>
      <c r="O172" t="str">
        <f>_xlfn.XLOOKUP(B172,Customer_Master!A:A,Customer_Master!D:D,"Not Found")</f>
        <v>Self-Employed</v>
      </c>
      <c r="P172" t="str">
        <f>_xlfn.XLOOKUP(B172,Customer_Master!A:A,Customer_Master!E:E,"Not Found")</f>
        <v>Low</v>
      </c>
      <c r="Q172" t="str" cm="1">
        <f t="array" ref="Q172">_xlfn.IFS(H172&lt;600,"High Risk",H172&lt;=750,"Medium Risk",TRUE,"Low Risk")</f>
        <v>Medium Risk</v>
      </c>
    </row>
    <row r="173" spans="1:17" x14ac:dyDescent="0.3">
      <c r="A173" t="s">
        <v>311</v>
      </c>
      <c r="B173" t="s">
        <v>159</v>
      </c>
      <c r="C173">
        <v>37</v>
      </c>
      <c r="D173">
        <v>108199</v>
      </c>
      <c r="E173">
        <v>1259623</v>
      </c>
      <c r="F173">
        <v>12.54</v>
      </c>
      <c r="G173">
        <v>48</v>
      </c>
      <c r="H173">
        <v>835</v>
      </c>
      <c r="I173" t="s">
        <v>15</v>
      </c>
      <c r="J173" t="s">
        <v>16</v>
      </c>
      <c r="K173">
        <v>33506</v>
      </c>
      <c r="L173" t="s">
        <v>22</v>
      </c>
      <c r="M173" s="8">
        <v>44697</v>
      </c>
      <c r="N173" t="str">
        <f>_xlfn.XLOOKUP(B173,Customer_Master!A:A,Customer_Master!C:C,"Not Found")</f>
        <v>Chennai</v>
      </c>
      <c r="O173" t="str">
        <f>_xlfn.XLOOKUP(B173,Customer_Master!A:A,Customer_Master!D:D,"Not Found")</f>
        <v>Self-Employed</v>
      </c>
      <c r="P173" t="str">
        <f>_xlfn.XLOOKUP(B173,Customer_Master!A:A,Customer_Master!E:E,"Not Found")</f>
        <v>High</v>
      </c>
      <c r="Q173" t="str" cm="1">
        <f t="array" ref="Q173">_xlfn.IFS(H173&lt;600,"High Risk",H173&lt;=750,"Medium Risk",TRUE,"Low Risk")</f>
        <v>Low Risk</v>
      </c>
    </row>
    <row r="174" spans="1:17" x14ac:dyDescent="0.3">
      <c r="A174" t="s">
        <v>312</v>
      </c>
      <c r="B174" t="s">
        <v>41</v>
      </c>
      <c r="C174">
        <v>33</v>
      </c>
      <c r="D174">
        <v>170184</v>
      </c>
      <c r="E174">
        <v>1230358</v>
      </c>
      <c r="F174">
        <v>15</v>
      </c>
      <c r="G174">
        <v>48</v>
      </c>
      <c r="H174">
        <v>487</v>
      </c>
      <c r="I174" t="s">
        <v>31</v>
      </c>
      <c r="J174" t="s">
        <v>16</v>
      </c>
      <c r="K174">
        <v>34242</v>
      </c>
      <c r="L174" t="s">
        <v>22</v>
      </c>
      <c r="M174" s="8">
        <v>44849</v>
      </c>
      <c r="N174" t="str">
        <f>_xlfn.XLOOKUP(B174,Customer_Master!A:A,Customer_Master!C:C,"Not Found")</f>
        <v>Delhi</v>
      </c>
      <c r="O174" t="str">
        <f>_xlfn.XLOOKUP(B174,Customer_Master!A:A,Customer_Master!D:D,"Not Found")</f>
        <v>Business Owner</v>
      </c>
      <c r="P174" t="str">
        <f>_xlfn.XLOOKUP(B174,Customer_Master!A:A,Customer_Master!E:E,"Not Found")</f>
        <v>High</v>
      </c>
      <c r="Q174" t="str" cm="1">
        <f t="array" ref="Q174">_xlfn.IFS(H174&lt;600,"High Risk",H174&lt;=750,"Medium Risk",TRUE,"Low Risk")</f>
        <v>High Risk</v>
      </c>
    </row>
    <row r="175" spans="1:17" x14ac:dyDescent="0.3">
      <c r="A175" t="s">
        <v>313</v>
      </c>
      <c r="B175" t="s">
        <v>161</v>
      </c>
      <c r="C175">
        <v>41</v>
      </c>
      <c r="D175">
        <v>188537</v>
      </c>
      <c r="E175">
        <v>1738885</v>
      </c>
      <c r="F175">
        <v>11.64</v>
      </c>
      <c r="G175">
        <v>120</v>
      </c>
      <c r="H175">
        <v>659</v>
      </c>
      <c r="I175" t="s">
        <v>15</v>
      </c>
      <c r="J175" t="s">
        <v>16</v>
      </c>
      <c r="K175">
        <v>24587</v>
      </c>
      <c r="L175" t="s">
        <v>17</v>
      </c>
      <c r="M175" s="8">
        <v>44628</v>
      </c>
      <c r="N175" t="str">
        <f>_xlfn.XLOOKUP(B175,Customer_Master!A:A,Customer_Master!C:C,"Not Found")</f>
        <v>Chennai</v>
      </c>
      <c r="O175" t="str">
        <f>_xlfn.XLOOKUP(B175,Customer_Master!A:A,Customer_Master!D:D,"Not Found")</f>
        <v>Business Owner</v>
      </c>
      <c r="P175" t="str">
        <f>_xlfn.XLOOKUP(B175,Customer_Master!A:A,Customer_Master!E:E,"Not Found")</f>
        <v>Low</v>
      </c>
      <c r="Q175" t="str" cm="1">
        <f t="array" ref="Q175">_xlfn.IFS(H175&lt;600,"High Risk",H175&lt;=750,"Medium Risk",TRUE,"Low Risk")</f>
        <v>Medium Risk</v>
      </c>
    </row>
    <row r="176" spans="1:17" x14ac:dyDescent="0.3">
      <c r="A176" t="s">
        <v>314</v>
      </c>
      <c r="B176" t="s">
        <v>315</v>
      </c>
      <c r="C176">
        <v>54</v>
      </c>
      <c r="D176">
        <v>122924</v>
      </c>
      <c r="E176">
        <v>1475858</v>
      </c>
      <c r="F176">
        <v>11.34</v>
      </c>
      <c r="G176">
        <v>12</v>
      </c>
      <c r="H176">
        <v>805</v>
      </c>
      <c r="I176" t="s">
        <v>20</v>
      </c>
      <c r="J176" t="s">
        <v>28</v>
      </c>
      <c r="K176">
        <v>130673</v>
      </c>
      <c r="L176" t="s">
        <v>17</v>
      </c>
      <c r="M176" s="8">
        <v>44768</v>
      </c>
      <c r="N176" t="str">
        <f>_xlfn.XLOOKUP(B176,Customer_Master!A:A,Customer_Master!C:C,"Not Found")</f>
        <v>Delhi</v>
      </c>
      <c r="O176" t="str">
        <f>_xlfn.XLOOKUP(B176,Customer_Master!A:A,Customer_Master!D:D,"Not Found")</f>
        <v>Salaried</v>
      </c>
      <c r="P176" t="str">
        <f>_xlfn.XLOOKUP(B176,Customer_Master!A:A,Customer_Master!E:E,"Not Found")</f>
        <v>High</v>
      </c>
      <c r="Q176" t="str" cm="1">
        <f t="array" ref="Q176">_xlfn.IFS(H176&lt;600,"High Risk",H176&lt;=750,"Medium Risk",TRUE,"Low Risk")</f>
        <v>Low Risk</v>
      </c>
    </row>
    <row r="177" spans="1:17" x14ac:dyDescent="0.3">
      <c r="A177" t="s">
        <v>316</v>
      </c>
      <c r="B177" t="s">
        <v>317</v>
      </c>
      <c r="C177">
        <v>52</v>
      </c>
      <c r="D177">
        <v>160047</v>
      </c>
      <c r="E177">
        <v>653756</v>
      </c>
      <c r="F177">
        <v>15.9</v>
      </c>
      <c r="G177">
        <v>48</v>
      </c>
      <c r="H177">
        <v>463</v>
      </c>
      <c r="I177" t="s">
        <v>31</v>
      </c>
      <c r="J177" t="s">
        <v>28</v>
      </c>
      <c r="K177">
        <v>18494</v>
      </c>
      <c r="L177" t="s">
        <v>22</v>
      </c>
      <c r="M177" s="8">
        <v>45238</v>
      </c>
      <c r="N177" t="str">
        <f>_xlfn.XLOOKUP(B177,Customer_Master!A:A,Customer_Master!C:C,"Not Found")</f>
        <v>Chennai</v>
      </c>
      <c r="O177" t="str">
        <f>_xlfn.XLOOKUP(B177,Customer_Master!A:A,Customer_Master!D:D,"Not Found")</f>
        <v>Salaried</v>
      </c>
      <c r="P177" t="str">
        <f>_xlfn.XLOOKUP(B177,Customer_Master!A:A,Customer_Master!E:E,"Not Found")</f>
        <v>Low</v>
      </c>
      <c r="Q177" t="str" cm="1">
        <f t="array" ref="Q177">_xlfn.IFS(H177&lt;600,"High Risk",H177&lt;=750,"Medium Risk",TRUE,"Low Risk")</f>
        <v>High Risk</v>
      </c>
    </row>
    <row r="178" spans="1:17" x14ac:dyDescent="0.3">
      <c r="A178" t="s">
        <v>318</v>
      </c>
      <c r="B178" t="s">
        <v>109</v>
      </c>
      <c r="C178">
        <v>58</v>
      </c>
      <c r="D178">
        <v>168521</v>
      </c>
      <c r="E178">
        <v>445820</v>
      </c>
      <c r="F178">
        <v>8.2899999999999991</v>
      </c>
      <c r="G178">
        <v>180</v>
      </c>
      <c r="H178">
        <v>765</v>
      </c>
      <c r="I178" t="s">
        <v>15</v>
      </c>
      <c r="J178" t="s">
        <v>39</v>
      </c>
      <c r="K178">
        <v>4335</v>
      </c>
      <c r="L178" t="s">
        <v>17</v>
      </c>
      <c r="M178" s="8">
        <v>45425</v>
      </c>
      <c r="N178" t="str">
        <f>_xlfn.XLOOKUP(B178,Customer_Master!A:A,Customer_Master!C:C,"Not Found")</f>
        <v>Delhi</v>
      </c>
      <c r="O178" t="str">
        <f>_xlfn.XLOOKUP(B178,Customer_Master!A:A,Customer_Master!D:D,"Not Found")</f>
        <v>Business Owner</v>
      </c>
      <c r="P178" t="str">
        <f>_xlfn.XLOOKUP(B178,Customer_Master!A:A,Customer_Master!E:E,"Not Found")</f>
        <v>High</v>
      </c>
      <c r="Q178" t="str" cm="1">
        <f t="array" ref="Q178">_xlfn.IFS(H178&lt;600,"High Risk",H178&lt;=750,"Medium Risk",TRUE,"Low Risk")</f>
        <v>Low Risk</v>
      </c>
    </row>
    <row r="179" spans="1:17" x14ac:dyDescent="0.3">
      <c r="A179" t="s">
        <v>319</v>
      </c>
      <c r="B179" t="s">
        <v>320</v>
      </c>
      <c r="C179">
        <v>44</v>
      </c>
      <c r="D179">
        <v>69872</v>
      </c>
      <c r="E179">
        <v>1302590</v>
      </c>
      <c r="F179">
        <v>15.87</v>
      </c>
      <c r="G179">
        <v>48</v>
      </c>
      <c r="H179">
        <v>846</v>
      </c>
      <c r="I179" t="s">
        <v>27</v>
      </c>
      <c r="J179" t="s">
        <v>21</v>
      </c>
      <c r="K179">
        <v>36829</v>
      </c>
      <c r="L179" t="s">
        <v>17</v>
      </c>
      <c r="M179" s="8">
        <v>44718</v>
      </c>
      <c r="N179" t="str">
        <f>_xlfn.XLOOKUP(B179,Customer_Master!A:A,Customer_Master!C:C,"Not Found")</f>
        <v>Delhi</v>
      </c>
      <c r="O179" t="str">
        <f>_xlfn.XLOOKUP(B179,Customer_Master!A:A,Customer_Master!D:D,"Not Found")</f>
        <v>Self-Employed</v>
      </c>
      <c r="P179" t="str">
        <f>_xlfn.XLOOKUP(B179,Customer_Master!A:A,Customer_Master!E:E,"Not Found")</f>
        <v>High</v>
      </c>
      <c r="Q179" t="str" cm="1">
        <f t="array" ref="Q179">_xlfn.IFS(H179&lt;600,"High Risk",H179&lt;=750,"Medium Risk",TRUE,"Low Risk")</f>
        <v>Low Risk</v>
      </c>
    </row>
    <row r="180" spans="1:17" x14ac:dyDescent="0.3">
      <c r="A180" t="s">
        <v>321</v>
      </c>
      <c r="B180" t="s">
        <v>322</v>
      </c>
      <c r="C180">
        <v>32</v>
      </c>
      <c r="D180">
        <v>196338</v>
      </c>
      <c r="E180">
        <v>538852</v>
      </c>
      <c r="F180">
        <v>7.86</v>
      </c>
      <c r="G180">
        <v>36</v>
      </c>
      <c r="H180">
        <v>781</v>
      </c>
      <c r="I180" t="s">
        <v>20</v>
      </c>
      <c r="J180" t="s">
        <v>28</v>
      </c>
      <c r="K180">
        <v>16851</v>
      </c>
      <c r="L180" t="s">
        <v>22</v>
      </c>
      <c r="M180" s="8">
        <v>44622</v>
      </c>
      <c r="N180" t="str">
        <f>_xlfn.XLOOKUP(B180,Customer_Master!A:A,Customer_Master!C:C,"Not Found")</f>
        <v>Bangalore</v>
      </c>
      <c r="O180" t="str">
        <f>_xlfn.XLOOKUP(B180,Customer_Master!A:A,Customer_Master!D:D,"Not Found")</f>
        <v>Business Owner</v>
      </c>
      <c r="P180" t="str">
        <f>_xlfn.XLOOKUP(B180,Customer_Master!A:A,Customer_Master!E:E,"Not Found")</f>
        <v>High</v>
      </c>
      <c r="Q180" t="str" cm="1">
        <f t="array" ref="Q180">_xlfn.IFS(H180&lt;600,"High Risk",H180&lt;=750,"Medium Risk",TRUE,"Low Risk")</f>
        <v>Low Risk</v>
      </c>
    </row>
    <row r="181" spans="1:17" x14ac:dyDescent="0.3">
      <c r="A181" t="s">
        <v>323</v>
      </c>
      <c r="B181" t="s">
        <v>152</v>
      </c>
      <c r="C181">
        <v>42</v>
      </c>
      <c r="D181">
        <v>109036</v>
      </c>
      <c r="E181">
        <v>1157730</v>
      </c>
      <c r="F181">
        <v>16.350000000000001</v>
      </c>
      <c r="G181">
        <v>180</v>
      </c>
      <c r="H181">
        <v>781</v>
      </c>
      <c r="I181" t="s">
        <v>20</v>
      </c>
      <c r="J181" t="s">
        <v>16</v>
      </c>
      <c r="K181">
        <v>17287</v>
      </c>
      <c r="L181" t="s">
        <v>22</v>
      </c>
      <c r="M181" s="8">
        <v>44930</v>
      </c>
      <c r="N181" t="str">
        <f>_xlfn.XLOOKUP(B181,Customer_Master!A:A,Customer_Master!C:C,"Not Found")</f>
        <v>Delhi</v>
      </c>
      <c r="O181" t="str">
        <f>_xlfn.XLOOKUP(B181,Customer_Master!A:A,Customer_Master!D:D,"Not Found")</f>
        <v>Salaried</v>
      </c>
      <c r="P181" t="str">
        <f>_xlfn.XLOOKUP(B181,Customer_Master!A:A,Customer_Master!E:E,"Not Found")</f>
        <v>Low</v>
      </c>
      <c r="Q181" t="str" cm="1">
        <f t="array" ref="Q181">_xlfn.IFS(H181&lt;600,"High Risk",H181&lt;=750,"Medium Risk",TRUE,"Low Risk")</f>
        <v>Low Risk</v>
      </c>
    </row>
    <row r="182" spans="1:17" x14ac:dyDescent="0.3">
      <c r="A182" t="s">
        <v>324</v>
      </c>
      <c r="B182" t="s">
        <v>325</v>
      </c>
      <c r="C182">
        <v>32</v>
      </c>
      <c r="D182">
        <v>162788</v>
      </c>
      <c r="E182">
        <v>1622768</v>
      </c>
      <c r="F182">
        <v>11.1</v>
      </c>
      <c r="G182">
        <v>240</v>
      </c>
      <c r="H182">
        <v>708</v>
      </c>
      <c r="I182" t="s">
        <v>27</v>
      </c>
      <c r="J182" t="s">
        <v>21</v>
      </c>
      <c r="K182">
        <v>16861</v>
      </c>
      <c r="L182" t="s">
        <v>22</v>
      </c>
      <c r="M182" s="8">
        <v>44710</v>
      </c>
      <c r="N182" t="str">
        <f>_xlfn.XLOOKUP(B182,Customer_Master!A:A,Customer_Master!C:C,"Not Found")</f>
        <v>Hyderabad</v>
      </c>
      <c r="O182" t="str">
        <f>_xlfn.XLOOKUP(B182,Customer_Master!A:A,Customer_Master!D:D,"Not Found")</f>
        <v>Self-Employed</v>
      </c>
      <c r="P182" t="str">
        <f>_xlfn.XLOOKUP(B182,Customer_Master!A:A,Customer_Master!E:E,"Not Found")</f>
        <v>High</v>
      </c>
      <c r="Q182" t="str" cm="1">
        <f t="array" ref="Q182">_xlfn.IFS(H182&lt;600,"High Risk",H182&lt;=750,"Medium Risk",TRUE,"Low Risk")</f>
        <v>Medium Risk</v>
      </c>
    </row>
    <row r="183" spans="1:17" x14ac:dyDescent="0.3">
      <c r="A183" t="s">
        <v>326</v>
      </c>
      <c r="B183" t="s">
        <v>76</v>
      </c>
      <c r="C183">
        <v>37</v>
      </c>
      <c r="D183">
        <v>183168</v>
      </c>
      <c r="E183">
        <v>586777</v>
      </c>
      <c r="F183">
        <v>14.82</v>
      </c>
      <c r="G183">
        <v>24</v>
      </c>
      <c r="H183">
        <v>767</v>
      </c>
      <c r="I183" t="s">
        <v>31</v>
      </c>
      <c r="J183" t="s">
        <v>28</v>
      </c>
      <c r="K183">
        <v>28401</v>
      </c>
      <c r="L183" t="s">
        <v>22</v>
      </c>
      <c r="M183" s="8">
        <v>45527</v>
      </c>
      <c r="N183" t="str">
        <f>_xlfn.XLOOKUP(B183,Customer_Master!A:A,Customer_Master!C:C,"Not Found")</f>
        <v>Pune</v>
      </c>
      <c r="O183" t="str">
        <f>_xlfn.XLOOKUP(B183,Customer_Master!A:A,Customer_Master!D:D,"Not Found")</f>
        <v>Self-Employed</v>
      </c>
      <c r="P183" t="str">
        <f>_xlfn.XLOOKUP(B183,Customer_Master!A:A,Customer_Master!E:E,"Not Found")</f>
        <v>Low</v>
      </c>
      <c r="Q183" t="str" cm="1">
        <f t="array" ref="Q183">_xlfn.IFS(H183&lt;600,"High Risk",H183&lt;=750,"Medium Risk",TRUE,"Low Risk")</f>
        <v>Low Risk</v>
      </c>
    </row>
    <row r="184" spans="1:17" x14ac:dyDescent="0.3">
      <c r="A184" t="s">
        <v>327</v>
      </c>
      <c r="B184" t="s">
        <v>328</v>
      </c>
      <c r="C184">
        <v>30</v>
      </c>
      <c r="D184">
        <v>183461</v>
      </c>
      <c r="E184">
        <v>974351</v>
      </c>
      <c r="F184">
        <v>13.29</v>
      </c>
      <c r="G184">
        <v>60</v>
      </c>
      <c r="H184">
        <v>604</v>
      </c>
      <c r="I184" t="s">
        <v>27</v>
      </c>
      <c r="J184" t="s">
        <v>28</v>
      </c>
      <c r="K184">
        <v>22314</v>
      </c>
      <c r="L184" t="s">
        <v>17</v>
      </c>
      <c r="M184" s="8">
        <v>45500</v>
      </c>
      <c r="N184" t="str">
        <f>_xlfn.XLOOKUP(B184,Customer_Master!A:A,Customer_Master!C:C,"Not Found")</f>
        <v>Bangalore</v>
      </c>
      <c r="O184" t="str">
        <f>_xlfn.XLOOKUP(B184,Customer_Master!A:A,Customer_Master!D:D,"Not Found")</f>
        <v>Self-Employed</v>
      </c>
      <c r="P184" t="str">
        <f>_xlfn.XLOOKUP(B184,Customer_Master!A:A,Customer_Master!E:E,"Not Found")</f>
        <v>Low</v>
      </c>
      <c r="Q184" t="str" cm="1">
        <f t="array" ref="Q184">_xlfn.IFS(H184&lt;600,"High Risk",H184&lt;=750,"Medium Risk",TRUE,"Low Risk")</f>
        <v>Medium Risk</v>
      </c>
    </row>
    <row r="185" spans="1:17" x14ac:dyDescent="0.3">
      <c r="A185" t="s">
        <v>329</v>
      </c>
      <c r="B185" t="s">
        <v>330</v>
      </c>
      <c r="C185">
        <v>60</v>
      </c>
      <c r="D185">
        <v>176275</v>
      </c>
      <c r="E185">
        <v>417229</v>
      </c>
      <c r="F185">
        <v>7.5</v>
      </c>
      <c r="G185">
        <v>120</v>
      </c>
      <c r="H185">
        <v>850</v>
      </c>
      <c r="I185" t="s">
        <v>20</v>
      </c>
      <c r="J185" t="s">
        <v>28</v>
      </c>
      <c r="K185">
        <v>4953</v>
      </c>
      <c r="L185" t="s">
        <v>22</v>
      </c>
      <c r="M185" s="8">
        <v>44903</v>
      </c>
      <c r="N185" t="str">
        <f>_xlfn.XLOOKUP(B185,Customer_Master!A:A,Customer_Master!C:C,"Not Found")</f>
        <v>Delhi</v>
      </c>
      <c r="O185" t="str">
        <f>_xlfn.XLOOKUP(B185,Customer_Master!A:A,Customer_Master!D:D,"Not Found")</f>
        <v>Self-Employed</v>
      </c>
      <c r="P185" t="str">
        <f>_xlfn.XLOOKUP(B185,Customer_Master!A:A,Customer_Master!E:E,"Not Found")</f>
        <v>High</v>
      </c>
      <c r="Q185" t="str" cm="1">
        <f t="array" ref="Q185">_xlfn.IFS(H185&lt;600,"High Risk",H185&lt;=750,"Medium Risk",TRUE,"Low Risk")</f>
        <v>Low Risk</v>
      </c>
    </row>
    <row r="186" spans="1:17" x14ac:dyDescent="0.3">
      <c r="A186" t="s">
        <v>331</v>
      </c>
      <c r="B186" t="s">
        <v>332</v>
      </c>
      <c r="C186">
        <v>58</v>
      </c>
      <c r="D186">
        <v>137863</v>
      </c>
      <c r="E186">
        <v>1970868</v>
      </c>
      <c r="F186">
        <v>12.84</v>
      </c>
      <c r="G186">
        <v>240</v>
      </c>
      <c r="H186">
        <v>665</v>
      </c>
      <c r="I186" t="s">
        <v>20</v>
      </c>
      <c r="J186" t="s">
        <v>28</v>
      </c>
      <c r="K186">
        <v>22866</v>
      </c>
      <c r="L186" t="s">
        <v>17</v>
      </c>
      <c r="M186" s="8">
        <v>44934</v>
      </c>
      <c r="N186" t="str">
        <f>_xlfn.XLOOKUP(B186,Customer_Master!A:A,Customer_Master!C:C,"Not Found")</f>
        <v>Delhi</v>
      </c>
      <c r="O186" t="str">
        <f>_xlfn.XLOOKUP(B186,Customer_Master!A:A,Customer_Master!D:D,"Not Found")</f>
        <v>Salaried</v>
      </c>
      <c r="P186" t="str">
        <f>_xlfn.XLOOKUP(B186,Customer_Master!A:A,Customer_Master!E:E,"Not Found")</f>
        <v>Medium</v>
      </c>
      <c r="Q186" t="str" cm="1">
        <f t="array" ref="Q186">_xlfn.IFS(H186&lt;600,"High Risk",H186&lt;=750,"Medium Risk",TRUE,"Low Risk")</f>
        <v>Medium Risk</v>
      </c>
    </row>
    <row r="187" spans="1:17" x14ac:dyDescent="0.3">
      <c r="A187" t="s">
        <v>333</v>
      </c>
      <c r="B187" t="s">
        <v>36</v>
      </c>
      <c r="C187">
        <v>35</v>
      </c>
      <c r="D187">
        <v>124327</v>
      </c>
      <c r="E187">
        <v>818464</v>
      </c>
      <c r="F187">
        <v>13.12</v>
      </c>
      <c r="G187">
        <v>240</v>
      </c>
      <c r="H187">
        <v>758</v>
      </c>
      <c r="I187" t="s">
        <v>31</v>
      </c>
      <c r="J187" t="s">
        <v>28</v>
      </c>
      <c r="K187">
        <v>9659</v>
      </c>
      <c r="L187" t="s">
        <v>22</v>
      </c>
      <c r="M187" s="8">
        <v>45460</v>
      </c>
      <c r="N187" t="str">
        <f>_xlfn.XLOOKUP(B187,Customer_Master!A:A,Customer_Master!C:C,"Not Found")</f>
        <v>Chennai</v>
      </c>
      <c r="O187" t="str">
        <f>_xlfn.XLOOKUP(B187,Customer_Master!A:A,Customer_Master!D:D,"Not Found")</f>
        <v>Self-Employed</v>
      </c>
      <c r="P187" t="str">
        <f>_xlfn.XLOOKUP(B187,Customer_Master!A:A,Customer_Master!E:E,"Not Found")</f>
        <v>Low</v>
      </c>
      <c r="Q187" t="str" cm="1">
        <f t="array" ref="Q187">_xlfn.IFS(H187&lt;600,"High Risk",H187&lt;=750,"Medium Risk",TRUE,"Low Risk")</f>
        <v>Low Risk</v>
      </c>
    </row>
    <row r="188" spans="1:17" x14ac:dyDescent="0.3">
      <c r="A188" t="s">
        <v>334</v>
      </c>
      <c r="B188" t="s">
        <v>159</v>
      </c>
      <c r="C188">
        <v>48</v>
      </c>
      <c r="D188">
        <v>108988</v>
      </c>
      <c r="E188">
        <v>1950231</v>
      </c>
      <c r="F188">
        <v>13.48</v>
      </c>
      <c r="G188">
        <v>60</v>
      </c>
      <c r="H188">
        <v>813</v>
      </c>
      <c r="I188" t="s">
        <v>20</v>
      </c>
      <c r="J188" t="s">
        <v>16</v>
      </c>
      <c r="K188">
        <v>44854</v>
      </c>
      <c r="L188" t="s">
        <v>17</v>
      </c>
      <c r="M188" s="8">
        <v>45508</v>
      </c>
      <c r="N188" t="str">
        <f>_xlfn.XLOOKUP(B188,Customer_Master!A:A,Customer_Master!C:C,"Not Found")</f>
        <v>Chennai</v>
      </c>
      <c r="O188" t="str">
        <f>_xlfn.XLOOKUP(B188,Customer_Master!A:A,Customer_Master!D:D,"Not Found")</f>
        <v>Self-Employed</v>
      </c>
      <c r="P188" t="str">
        <f>_xlfn.XLOOKUP(B188,Customer_Master!A:A,Customer_Master!E:E,"Not Found")</f>
        <v>High</v>
      </c>
      <c r="Q188" t="str" cm="1">
        <f t="array" ref="Q188">_xlfn.IFS(H188&lt;600,"High Risk",H188&lt;=750,"Medium Risk",TRUE,"Low Risk")</f>
        <v>Low Risk</v>
      </c>
    </row>
    <row r="189" spans="1:17" x14ac:dyDescent="0.3">
      <c r="A189" t="s">
        <v>335</v>
      </c>
      <c r="B189" t="s">
        <v>284</v>
      </c>
      <c r="C189">
        <v>56</v>
      </c>
      <c r="D189">
        <v>146127</v>
      </c>
      <c r="E189">
        <v>1814175</v>
      </c>
      <c r="F189">
        <v>13.09</v>
      </c>
      <c r="G189">
        <v>120</v>
      </c>
      <c r="H189">
        <v>694</v>
      </c>
      <c r="I189" t="s">
        <v>20</v>
      </c>
      <c r="J189" t="s">
        <v>16</v>
      </c>
      <c r="K189">
        <v>27184</v>
      </c>
      <c r="L189" t="s">
        <v>17</v>
      </c>
      <c r="M189" s="8">
        <v>45248</v>
      </c>
      <c r="N189" t="str">
        <f>_xlfn.XLOOKUP(B189,Customer_Master!A:A,Customer_Master!C:C,"Not Found")</f>
        <v>Mumbai</v>
      </c>
      <c r="O189" t="str">
        <f>_xlfn.XLOOKUP(B189,Customer_Master!A:A,Customer_Master!D:D,"Not Found")</f>
        <v>Salaried</v>
      </c>
      <c r="P189" t="str">
        <f>_xlfn.XLOOKUP(B189,Customer_Master!A:A,Customer_Master!E:E,"Not Found")</f>
        <v>Low</v>
      </c>
      <c r="Q189" t="str" cm="1">
        <f t="array" ref="Q189">_xlfn.IFS(H189&lt;600,"High Risk",H189&lt;=750,"Medium Risk",TRUE,"Low Risk")</f>
        <v>Medium Risk</v>
      </c>
    </row>
    <row r="190" spans="1:17" x14ac:dyDescent="0.3">
      <c r="A190" t="s">
        <v>336</v>
      </c>
      <c r="B190" t="s">
        <v>73</v>
      </c>
      <c r="C190">
        <v>53</v>
      </c>
      <c r="D190">
        <v>52306</v>
      </c>
      <c r="E190">
        <v>1497988</v>
      </c>
      <c r="F190">
        <v>13.4</v>
      </c>
      <c r="G190">
        <v>48</v>
      </c>
      <c r="H190">
        <v>847</v>
      </c>
      <c r="I190" t="s">
        <v>27</v>
      </c>
      <c r="J190" t="s">
        <v>16</v>
      </c>
      <c r="K190">
        <v>40485</v>
      </c>
      <c r="L190" t="s">
        <v>22</v>
      </c>
      <c r="M190" s="8">
        <v>45358</v>
      </c>
      <c r="N190" t="str">
        <f>_xlfn.XLOOKUP(B190,Customer_Master!A:A,Customer_Master!C:C,"Not Found")</f>
        <v>Chennai</v>
      </c>
      <c r="O190" t="str">
        <f>_xlfn.XLOOKUP(B190,Customer_Master!A:A,Customer_Master!D:D,"Not Found")</f>
        <v>Salaried</v>
      </c>
      <c r="P190" t="str">
        <f>_xlfn.XLOOKUP(B190,Customer_Master!A:A,Customer_Master!E:E,"Not Found")</f>
        <v>Medium</v>
      </c>
      <c r="Q190" t="str" cm="1">
        <f t="array" ref="Q190">_xlfn.IFS(H190&lt;600,"High Risk",H190&lt;=750,"Medium Risk",TRUE,"Low Risk")</f>
        <v>Low Risk</v>
      </c>
    </row>
    <row r="191" spans="1:17" x14ac:dyDescent="0.3">
      <c r="A191" t="s">
        <v>337</v>
      </c>
      <c r="B191" t="s">
        <v>338</v>
      </c>
      <c r="C191">
        <v>54</v>
      </c>
      <c r="D191">
        <v>130338</v>
      </c>
      <c r="E191">
        <v>1553866</v>
      </c>
      <c r="F191">
        <v>10.52</v>
      </c>
      <c r="G191">
        <v>60</v>
      </c>
      <c r="H191">
        <v>476</v>
      </c>
      <c r="I191" t="s">
        <v>15</v>
      </c>
      <c r="J191" t="s">
        <v>16</v>
      </c>
      <c r="K191">
        <v>33414</v>
      </c>
      <c r="L191" t="s">
        <v>34</v>
      </c>
      <c r="M191" s="8">
        <v>45380</v>
      </c>
      <c r="N191" t="str">
        <f>_xlfn.XLOOKUP(B191,Customer_Master!A:A,Customer_Master!C:C,"Not Found")</f>
        <v>Delhi</v>
      </c>
      <c r="O191" t="str">
        <f>_xlfn.XLOOKUP(B191,Customer_Master!A:A,Customer_Master!D:D,"Not Found")</f>
        <v>Business Owner</v>
      </c>
      <c r="P191" t="str">
        <f>_xlfn.XLOOKUP(B191,Customer_Master!A:A,Customer_Master!E:E,"Not Found")</f>
        <v>Medium</v>
      </c>
      <c r="Q191" t="str" cm="1">
        <f t="array" ref="Q191">_xlfn.IFS(H191&lt;600,"High Risk",H191&lt;=750,"Medium Risk",TRUE,"Low Risk")</f>
        <v>High Risk</v>
      </c>
    </row>
    <row r="192" spans="1:17" x14ac:dyDescent="0.3">
      <c r="A192" t="s">
        <v>339</v>
      </c>
      <c r="B192" t="s">
        <v>133</v>
      </c>
      <c r="C192">
        <v>33</v>
      </c>
      <c r="D192">
        <v>33015</v>
      </c>
      <c r="E192">
        <v>1890256</v>
      </c>
      <c r="F192">
        <v>13.37</v>
      </c>
      <c r="G192">
        <v>24</v>
      </c>
      <c r="H192">
        <v>644</v>
      </c>
      <c r="I192" t="s">
        <v>15</v>
      </c>
      <c r="J192" t="s">
        <v>39</v>
      </c>
      <c r="K192">
        <v>90195</v>
      </c>
      <c r="L192" t="s">
        <v>22</v>
      </c>
      <c r="M192" s="8">
        <v>44822</v>
      </c>
      <c r="N192" t="str">
        <f>_xlfn.XLOOKUP(B192,Customer_Master!A:A,Customer_Master!C:C,"Not Found")</f>
        <v>Mumbai</v>
      </c>
      <c r="O192" t="str">
        <f>_xlfn.XLOOKUP(B192,Customer_Master!A:A,Customer_Master!D:D,"Not Found")</f>
        <v>Salaried</v>
      </c>
      <c r="P192" t="str">
        <f>_xlfn.XLOOKUP(B192,Customer_Master!A:A,Customer_Master!E:E,"Not Found")</f>
        <v>Medium</v>
      </c>
      <c r="Q192" t="str" cm="1">
        <f t="array" ref="Q192">_xlfn.IFS(H192&lt;600,"High Risk",H192&lt;=750,"Medium Risk",TRUE,"Low Risk")</f>
        <v>Medium Risk</v>
      </c>
    </row>
    <row r="193" spans="1:17" x14ac:dyDescent="0.3">
      <c r="A193" t="s">
        <v>340</v>
      </c>
      <c r="B193" t="s">
        <v>19</v>
      </c>
      <c r="C193">
        <v>45</v>
      </c>
      <c r="D193">
        <v>152564</v>
      </c>
      <c r="E193">
        <v>1339700</v>
      </c>
      <c r="F193">
        <v>14.72</v>
      </c>
      <c r="G193">
        <v>180</v>
      </c>
      <c r="H193">
        <v>562</v>
      </c>
      <c r="I193" t="s">
        <v>27</v>
      </c>
      <c r="J193" t="s">
        <v>16</v>
      </c>
      <c r="K193">
        <v>18494</v>
      </c>
      <c r="L193" t="s">
        <v>22</v>
      </c>
      <c r="M193" s="8">
        <v>44839</v>
      </c>
      <c r="N193" t="str">
        <f>_xlfn.XLOOKUP(B193,Customer_Master!A:A,Customer_Master!C:C,"Not Found")</f>
        <v>Chennai</v>
      </c>
      <c r="O193" t="str">
        <f>_xlfn.XLOOKUP(B193,Customer_Master!A:A,Customer_Master!D:D,"Not Found")</f>
        <v>Salaried</v>
      </c>
      <c r="P193" t="str">
        <f>_xlfn.XLOOKUP(B193,Customer_Master!A:A,Customer_Master!E:E,"Not Found")</f>
        <v>High</v>
      </c>
      <c r="Q193" t="str" cm="1">
        <f t="array" ref="Q193">_xlfn.IFS(H193&lt;600,"High Risk",H193&lt;=750,"Medium Risk",TRUE,"Low Risk")</f>
        <v>High Risk</v>
      </c>
    </row>
    <row r="194" spans="1:17" x14ac:dyDescent="0.3">
      <c r="A194" t="s">
        <v>341</v>
      </c>
      <c r="B194" t="s">
        <v>342</v>
      </c>
      <c r="C194">
        <v>37</v>
      </c>
      <c r="D194">
        <v>58716</v>
      </c>
      <c r="E194">
        <v>1313233</v>
      </c>
      <c r="F194">
        <v>12.83</v>
      </c>
      <c r="G194">
        <v>60</v>
      </c>
      <c r="H194">
        <v>828</v>
      </c>
      <c r="I194" t="s">
        <v>20</v>
      </c>
      <c r="J194" t="s">
        <v>28</v>
      </c>
      <c r="K194">
        <v>29766</v>
      </c>
      <c r="L194" t="s">
        <v>22</v>
      </c>
      <c r="M194" s="8">
        <v>44987</v>
      </c>
      <c r="N194" t="str">
        <f>_xlfn.XLOOKUP(B194,Customer_Master!A:A,Customer_Master!C:C,"Not Found")</f>
        <v>Pune</v>
      </c>
      <c r="O194" t="str">
        <f>_xlfn.XLOOKUP(B194,Customer_Master!A:A,Customer_Master!D:D,"Not Found")</f>
        <v>Salaried</v>
      </c>
      <c r="P194" t="str">
        <f>_xlfn.XLOOKUP(B194,Customer_Master!A:A,Customer_Master!E:E,"Not Found")</f>
        <v>High</v>
      </c>
      <c r="Q194" t="str" cm="1">
        <f t="array" ref="Q194">_xlfn.IFS(H194&lt;600,"High Risk",H194&lt;=750,"Medium Risk",TRUE,"Low Risk")</f>
        <v>Low Risk</v>
      </c>
    </row>
    <row r="195" spans="1:17" x14ac:dyDescent="0.3">
      <c r="A195" t="s">
        <v>343</v>
      </c>
      <c r="B195" t="s">
        <v>188</v>
      </c>
      <c r="C195">
        <v>29</v>
      </c>
      <c r="D195">
        <v>159403</v>
      </c>
      <c r="E195">
        <v>426059</v>
      </c>
      <c r="F195">
        <v>13.99</v>
      </c>
      <c r="G195">
        <v>12</v>
      </c>
      <c r="H195">
        <v>708</v>
      </c>
      <c r="I195" t="s">
        <v>20</v>
      </c>
      <c r="J195" t="s">
        <v>39</v>
      </c>
      <c r="K195">
        <v>38253</v>
      </c>
      <c r="L195" t="s">
        <v>22</v>
      </c>
      <c r="M195" s="8">
        <v>44927</v>
      </c>
      <c r="N195" t="str">
        <f>_xlfn.XLOOKUP(B195,Customer_Master!A:A,Customer_Master!C:C,"Not Found")</f>
        <v>Delhi</v>
      </c>
      <c r="O195" t="str">
        <f>_xlfn.XLOOKUP(B195,Customer_Master!A:A,Customer_Master!D:D,"Not Found")</f>
        <v>Salaried</v>
      </c>
      <c r="P195" t="str">
        <f>_xlfn.XLOOKUP(B195,Customer_Master!A:A,Customer_Master!E:E,"Not Found")</f>
        <v>High</v>
      </c>
      <c r="Q195" t="str" cm="1">
        <f t="array" ref="Q195">_xlfn.IFS(H195&lt;600,"High Risk",H195&lt;=750,"Medium Risk",TRUE,"Low Risk")</f>
        <v>Medium Risk</v>
      </c>
    </row>
    <row r="196" spans="1:17" x14ac:dyDescent="0.3">
      <c r="A196" t="s">
        <v>344</v>
      </c>
      <c r="B196" t="s">
        <v>345</v>
      </c>
      <c r="C196">
        <v>22</v>
      </c>
      <c r="D196">
        <v>58856</v>
      </c>
      <c r="E196">
        <v>902877</v>
      </c>
      <c r="F196">
        <v>12.78</v>
      </c>
      <c r="G196">
        <v>120</v>
      </c>
      <c r="H196">
        <v>783</v>
      </c>
      <c r="I196" t="s">
        <v>15</v>
      </c>
      <c r="J196" t="s">
        <v>16</v>
      </c>
      <c r="K196">
        <v>13364</v>
      </c>
      <c r="L196" t="s">
        <v>22</v>
      </c>
      <c r="M196" s="8">
        <v>45197</v>
      </c>
      <c r="N196" t="str">
        <f>_xlfn.XLOOKUP(B196,Customer_Master!A:A,Customer_Master!C:C,"Not Found")</f>
        <v>Mumbai</v>
      </c>
      <c r="O196" t="str">
        <f>_xlfn.XLOOKUP(B196,Customer_Master!A:A,Customer_Master!D:D,"Not Found")</f>
        <v>Self-Employed</v>
      </c>
      <c r="P196" t="str">
        <f>_xlfn.XLOOKUP(B196,Customer_Master!A:A,Customer_Master!E:E,"Not Found")</f>
        <v>Medium</v>
      </c>
      <c r="Q196" t="str" cm="1">
        <f t="array" ref="Q196">_xlfn.IFS(H196&lt;600,"High Risk",H196&lt;=750,"Medium Risk",TRUE,"Low Risk")</f>
        <v>Low Risk</v>
      </c>
    </row>
    <row r="197" spans="1:17" x14ac:dyDescent="0.3">
      <c r="A197" t="s">
        <v>346</v>
      </c>
      <c r="B197" t="s">
        <v>97</v>
      </c>
      <c r="C197">
        <v>53</v>
      </c>
      <c r="D197">
        <v>154500</v>
      </c>
      <c r="E197">
        <v>527022</v>
      </c>
      <c r="F197">
        <v>8.11</v>
      </c>
      <c r="G197">
        <v>24</v>
      </c>
      <c r="H197">
        <v>509</v>
      </c>
      <c r="I197" t="s">
        <v>20</v>
      </c>
      <c r="J197" t="s">
        <v>28</v>
      </c>
      <c r="K197">
        <v>23862</v>
      </c>
      <c r="L197" t="s">
        <v>22</v>
      </c>
      <c r="M197" s="8">
        <v>45466</v>
      </c>
      <c r="N197" t="str">
        <f>_xlfn.XLOOKUP(B197,Customer_Master!A:A,Customer_Master!C:C,"Not Found")</f>
        <v>Chennai</v>
      </c>
      <c r="O197" t="str">
        <f>_xlfn.XLOOKUP(B197,Customer_Master!A:A,Customer_Master!D:D,"Not Found")</f>
        <v>Business Owner</v>
      </c>
      <c r="P197" t="str">
        <f>_xlfn.XLOOKUP(B197,Customer_Master!A:A,Customer_Master!E:E,"Not Found")</f>
        <v>High</v>
      </c>
      <c r="Q197" t="str" cm="1">
        <f t="array" ref="Q197">_xlfn.IFS(H197&lt;600,"High Risk",H197&lt;=750,"Medium Risk",TRUE,"Low Risk")</f>
        <v>High Risk</v>
      </c>
    </row>
    <row r="198" spans="1:17" x14ac:dyDescent="0.3">
      <c r="A198" t="s">
        <v>347</v>
      </c>
      <c r="B198" t="s">
        <v>254</v>
      </c>
      <c r="C198">
        <v>35</v>
      </c>
      <c r="D198">
        <v>130171</v>
      </c>
      <c r="E198">
        <v>1374072</v>
      </c>
      <c r="F198">
        <v>15.2</v>
      </c>
      <c r="G198">
        <v>24</v>
      </c>
      <c r="H198">
        <v>569</v>
      </c>
      <c r="I198" t="s">
        <v>27</v>
      </c>
      <c r="J198" t="s">
        <v>39</v>
      </c>
      <c r="K198">
        <v>66755</v>
      </c>
      <c r="L198" t="s">
        <v>22</v>
      </c>
      <c r="M198" s="8">
        <v>44696</v>
      </c>
      <c r="N198" t="str">
        <f>_xlfn.XLOOKUP(B198,Customer_Master!A:A,Customer_Master!C:C,"Not Found")</f>
        <v>Delhi</v>
      </c>
      <c r="O198" t="str">
        <f>_xlfn.XLOOKUP(B198,Customer_Master!A:A,Customer_Master!D:D,"Not Found")</f>
        <v>Self-Employed</v>
      </c>
      <c r="P198" t="str">
        <f>_xlfn.XLOOKUP(B198,Customer_Master!A:A,Customer_Master!E:E,"Not Found")</f>
        <v>Low</v>
      </c>
      <c r="Q198" t="str" cm="1">
        <f t="array" ref="Q198">_xlfn.IFS(H198&lt;600,"High Risk",H198&lt;=750,"Medium Risk",TRUE,"Low Risk")</f>
        <v>High Risk</v>
      </c>
    </row>
    <row r="199" spans="1:17" x14ac:dyDescent="0.3">
      <c r="A199" t="s">
        <v>348</v>
      </c>
      <c r="B199" t="s">
        <v>349</v>
      </c>
      <c r="C199">
        <v>60</v>
      </c>
      <c r="D199">
        <v>145394</v>
      </c>
      <c r="E199">
        <v>114868</v>
      </c>
      <c r="F199">
        <v>15.91</v>
      </c>
      <c r="G199">
        <v>120</v>
      </c>
      <c r="H199">
        <v>849</v>
      </c>
      <c r="I199" t="s">
        <v>15</v>
      </c>
      <c r="J199" t="s">
        <v>21</v>
      </c>
      <c r="K199">
        <v>1918</v>
      </c>
      <c r="L199" t="s">
        <v>17</v>
      </c>
      <c r="M199" s="8">
        <v>45472</v>
      </c>
      <c r="N199" t="str">
        <f>_xlfn.XLOOKUP(B199,Customer_Master!A:A,Customer_Master!C:C,"Not Found")</f>
        <v>Bangalore</v>
      </c>
      <c r="O199" t="str">
        <f>_xlfn.XLOOKUP(B199,Customer_Master!A:A,Customer_Master!D:D,"Not Found")</f>
        <v>Self-Employed</v>
      </c>
      <c r="P199" t="str">
        <f>_xlfn.XLOOKUP(B199,Customer_Master!A:A,Customer_Master!E:E,"Not Found")</f>
        <v>Medium</v>
      </c>
      <c r="Q199" t="str" cm="1">
        <f t="array" ref="Q199">_xlfn.IFS(H199&lt;600,"High Risk",H199&lt;=750,"Medium Risk",TRUE,"Low Risk")</f>
        <v>Low Risk</v>
      </c>
    </row>
    <row r="200" spans="1:17" x14ac:dyDescent="0.3">
      <c r="A200" t="s">
        <v>350</v>
      </c>
      <c r="B200" t="s">
        <v>51</v>
      </c>
      <c r="C200">
        <v>50</v>
      </c>
      <c r="D200">
        <v>164189</v>
      </c>
      <c r="E200">
        <v>608517</v>
      </c>
      <c r="F200">
        <v>8.4499999999999993</v>
      </c>
      <c r="G200">
        <v>36</v>
      </c>
      <c r="H200">
        <v>507</v>
      </c>
      <c r="I200" t="s">
        <v>31</v>
      </c>
      <c r="J200" t="s">
        <v>28</v>
      </c>
      <c r="K200">
        <v>19195</v>
      </c>
      <c r="L200" t="s">
        <v>17</v>
      </c>
      <c r="M200" s="8">
        <v>45237</v>
      </c>
      <c r="N200" t="str">
        <f>_xlfn.XLOOKUP(B200,Customer_Master!A:A,Customer_Master!C:C,"Not Found")</f>
        <v>Bangalore</v>
      </c>
      <c r="O200" t="str">
        <f>_xlfn.XLOOKUP(B200,Customer_Master!A:A,Customer_Master!D:D,"Not Found")</f>
        <v>Business Owner</v>
      </c>
      <c r="P200" t="str">
        <f>_xlfn.XLOOKUP(B200,Customer_Master!A:A,Customer_Master!E:E,"Not Found")</f>
        <v>Medium</v>
      </c>
      <c r="Q200" t="str" cm="1">
        <f t="array" ref="Q200">_xlfn.IFS(H200&lt;600,"High Risk",H200&lt;=750,"Medium Risk",TRUE,"Low Risk")</f>
        <v>High Risk</v>
      </c>
    </row>
    <row r="201" spans="1:17" x14ac:dyDescent="0.3">
      <c r="A201" t="s">
        <v>351</v>
      </c>
      <c r="B201" t="s">
        <v>241</v>
      </c>
      <c r="C201">
        <v>46</v>
      </c>
      <c r="D201">
        <v>180974</v>
      </c>
      <c r="E201">
        <v>752362</v>
      </c>
      <c r="F201">
        <v>11.48</v>
      </c>
      <c r="G201">
        <v>48</v>
      </c>
      <c r="H201">
        <v>691</v>
      </c>
      <c r="I201" t="s">
        <v>27</v>
      </c>
      <c r="J201" t="s">
        <v>21</v>
      </c>
      <c r="K201">
        <v>19621</v>
      </c>
      <c r="L201" t="s">
        <v>22</v>
      </c>
      <c r="M201" s="8">
        <v>44621</v>
      </c>
      <c r="N201" t="str">
        <f>_xlfn.XLOOKUP(B201,Customer_Master!A:A,Customer_Master!C:C,"Not Found")</f>
        <v>Mumbai</v>
      </c>
      <c r="O201" t="str">
        <f>_xlfn.XLOOKUP(B201,Customer_Master!A:A,Customer_Master!D:D,"Not Found")</f>
        <v>Self-Employed</v>
      </c>
      <c r="P201" t="str">
        <f>_xlfn.XLOOKUP(B201,Customer_Master!A:A,Customer_Master!E:E,"Not Found")</f>
        <v>High</v>
      </c>
      <c r="Q201" t="str" cm="1">
        <f t="array" ref="Q201">_xlfn.IFS(H201&lt;600,"High Risk",H201&lt;=750,"Medium Risk",TRUE,"Low Risk")</f>
        <v>Medium Risk</v>
      </c>
    </row>
    <row r="202" spans="1:17" x14ac:dyDescent="0.3">
      <c r="A202" t="s">
        <v>352</v>
      </c>
      <c r="B202" t="s">
        <v>353</v>
      </c>
      <c r="C202">
        <v>54</v>
      </c>
      <c r="D202">
        <v>168926</v>
      </c>
      <c r="E202">
        <v>803170</v>
      </c>
      <c r="F202">
        <v>10.92</v>
      </c>
      <c r="G202">
        <v>120</v>
      </c>
      <c r="H202">
        <v>802</v>
      </c>
      <c r="I202" t="s">
        <v>31</v>
      </c>
      <c r="J202" t="s">
        <v>28</v>
      </c>
      <c r="K202">
        <v>11027</v>
      </c>
      <c r="L202" t="s">
        <v>17</v>
      </c>
      <c r="M202" s="8">
        <v>45131</v>
      </c>
      <c r="N202" t="str">
        <f>_xlfn.XLOOKUP(B202,Customer_Master!A:A,Customer_Master!C:C,"Not Found")</f>
        <v>Pune</v>
      </c>
      <c r="O202" t="str">
        <f>_xlfn.XLOOKUP(B202,Customer_Master!A:A,Customer_Master!D:D,"Not Found")</f>
        <v>Salaried</v>
      </c>
      <c r="P202" t="str">
        <f>_xlfn.XLOOKUP(B202,Customer_Master!A:A,Customer_Master!E:E,"Not Found")</f>
        <v>High</v>
      </c>
      <c r="Q202" t="str" cm="1">
        <f t="array" ref="Q202">_xlfn.IFS(H202&lt;600,"High Risk",H202&lt;=750,"Medium Risk",TRUE,"Low Risk")</f>
        <v>Low Risk</v>
      </c>
    </row>
    <row r="203" spans="1:17" x14ac:dyDescent="0.3">
      <c r="A203" t="s">
        <v>354</v>
      </c>
      <c r="B203" t="s">
        <v>355</v>
      </c>
      <c r="C203">
        <v>26</v>
      </c>
      <c r="D203">
        <v>180412</v>
      </c>
      <c r="E203">
        <v>239121</v>
      </c>
      <c r="F203">
        <v>13.65</v>
      </c>
      <c r="G203">
        <v>60</v>
      </c>
      <c r="H203">
        <v>804</v>
      </c>
      <c r="I203" t="s">
        <v>27</v>
      </c>
      <c r="J203" t="s">
        <v>21</v>
      </c>
      <c r="K203">
        <v>5521</v>
      </c>
      <c r="L203" t="s">
        <v>17</v>
      </c>
      <c r="M203" s="8">
        <v>44944</v>
      </c>
      <c r="N203" t="str">
        <f>_xlfn.XLOOKUP(B203,Customer_Master!A:A,Customer_Master!C:C,"Not Found")</f>
        <v>Bangalore</v>
      </c>
      <c r="O203" t="str">
        <f>_xlfn.XLOOKUP(B203,Customer_Master!A:A,Customer_Master!D:D,"Not Found")</f>
        <v>Salaried</v>
      </c>
      <c r="P203" t="str">
        <f>_xlfn.XLOOKUP(B203,Customer_Master!A:A,Customer_Master!E:E,"Not Found")</f>
        <v>Low</v>
      </c>
      <c r="Q203" t="str" cm="1">
        <f t="array" ref="Q203">_xlfn.IFS(H203&lt;600,"High Risk",H203&lt;=750,"Medium Risk",TRUE,"Low Risk")</f>
        <v>Low Risk</v>
      </c>
    </row>
    <row r="204" spans="1:17" x14ac:dyDescent="0.3">
      <c r="A204" t="s">
        <v>356</v>
      </c>
      <c r="B204" t="s">
        <v>36</v>
      </c>
      <c r="C204">
        <v>39</v>
      </c>
      <c r="D204">
        <v>106040</v>
      </c>
      <c r="E204">
        <v>1630650</v>
      </c>
      <c r="F204">
        <v>8.23</v>
      </c>
      <c r="G204">
        <v>120</v>
      </c>
      <c r="H204">
        <v>656</v>
      </c>
      <c r="I204" t="s">
        <v>31</v>
      </c>
      <c r="J204" t="s">
        <v>21</v>
      </c>
      <c r="K204">
        <v>19983</v>
      </c>
      <c r="L204" t="s">
        <v>17</v>
      </c>
      <c r="M204" s="8">
        <v>45027</v>
      </c>
      <c r="N204" t="str">
        <f>_xlfn.XLOOKUP(B204,Customer_Master!A:A,Customer_Master!C:C,"Not Found")</f>
        <v>Chennai</v>
      </c>
      <c r="O204" t="str">
        <f>_xlfn.XLOOKUP(B204,Customer_Master!A:A,Customer_Master!D:D,"Not Found")</f>
        <v>Self-Employed</v>
      </c>
      <c r="P204" t="str">
        <f>_xlfn.XLOOKUP(B204,Customer_Master!A:A,Customer_Master!E:E,"Not Found")</f>
        <v>Low</v>
      </c>
      <c r="Q204" t="str" cm="1">
        <f t="array" ref="Q204">_xlfn.IFS(H204&lt;600,"High Risk",H204&lt;=750,"Medium Risk",TRUE,"Low Risk")</f>
        <v>Medium Risk</v>
      </c>
    </row>
    <row r="205" spans="1:17" x14ac:dyDescent="0.3">
      <c r="A205" t="s">
        <v>357</v>
      </c>
      <c r="B205" t="s">
        <v>286</v>
      </c>
      <c r="C205">
        <v>45</v>
      </c>
      <c r="D205">
        <v>38251</v>
      </c>
      <c r="E205">
        <v>888888</v>
      </c>
      <c r="F205">
        <v>15.94</v>
      </c>
      <c r="G205">
        <v>240</v>
      </c>
      <c r="H205">
        <v>665</v>
      </c>
      <c r="I205" t="s">
        <v>31</v>
      </c>
      <c r="J205" t="s">
        <v>16</v>
      </c>
      <c r="K205">
        <v>12327</v>
      </c>
      <c r="L205" t="s">
        <v>17</v>
      </c>
      <c r="M205" s="8">
        <v>45211</v>
      </c>
      <c r="N205" t="str">
        <f>_xlfn.XLOOKUP(B205,Customer_Master!A:A,Customer_Master!C:C,"Not Found")</f>
        <v>Pune</v>
      </c>
      <c r="O205" t="str">
        <f>_xlfn.XLOOKUP(B205,Customer_Master!A:A,Customer_Master!D:D,"Not Found")</f>
        <v>Salaried</v>
      </c>
      <c r="P205" t="str">
        <f>_xlfn.XLOOKUP(B205,Customer_Master!A:A,Customer_Master!E:E,"Not Found")</f>
        <v>High</v>
      </c>
      <c r="Q205" t="str" cm="1">
        <f t="array" ref="Q205">_xlfn.IFS(H205&lt;600,"High Risk",H205&lt;=750,"Medium Risk",TRUE,"Low Risk")</f>
        <v>Medium Risk</v>
      </c>
    </row>
    <row r="206" spans="1:17" x14ac:dyDescent="0.3">
      <c r="A206" t="s">
        <v>358</v>
      </c>
      <c r="B206" t="s">
        <v>123</v>
      </c>
      <c r="C206">
        <v>34</v>
      </c>
      <c r="D206">
        <v>75872</v>
      </c>
      <c r="E206">
        <v>1889897</v>
      </c>
      <c r="F206">
        <v>10.53</v>
      </c>
      <c r="G206">
        <v>120</v>
      </c>
      <c r="H206">
        <v>655</v>
      </c>
      <c r="I206" t="s">
        <v>20</v>
      </c>
      <c r="J206" t="s">
        <v>21</v>
      </c>
      <c r="K206">
        <v>25533</v>
      </c>
      <c r="L206" t="s">
        <v>17</v>
      </c>
      <c r="M206" s="8">
        <v>45266</v>
      </c>
      <c r="N206" t="str">
        <f>_xlfn.XLOOKUP(B206,Customer_Master!A:A,Customer_Master!C:C,"Not Found")</f>
        <v>Hyderabad</v>
      </c>
      <c r="O206" t="str">
        <f>_xlfn.XLOOKUP(B206,Customer_Master!A:A,Customer_Master!D:D,"Not Found")</f>
        <v>Self-Employed</v>
      </c>
      <c r="P206" t="str">
        <f>_xlfn.XLOOKUP(B206,Customer_Master!A:A,Customer_Master!E:E,"Not Found")</f>
        <v>Low</v>
      </c>
      <c r="Q206" t="str" cm="1">
        <f t="array" ref="Q206">_xlfn.IFS(H206&lt;600,"High Risk",H206&lt;=750,"Medium Risk",TRUE,"Low Risk")</f>
        <v>Medium Risk</v>
      </c>
    </row>
    <row r="207" spans="1:17" x14ac:dyDescent="0.3">
      <c r="A207" t="s">
        <v>359</v>
      </c>
      <c r="B207" t="s">
        <v>290</v>
      </c>
      <c r="C207">
        <v>31</v>
      </c>
      <c r="D207">
        <v>49175</v>
      </c>
      <c r="E207">
        <v>1527799</v>
      </c>
      <c r="F207">
        <v>11.24</v>
      </c>
      <c r="G207">
        <v>48</v>
      </c>
      <c r="H207">
        <v>537</v>
      </c>
      <c r="I207" t="s">
        <v>27</v>
      </c>
      <c r="J207" t="s">
        <v>16</v>
      </c>
      <c r="K207">
        <v>39665</v>
      </c>
      <c r="L207" t="s">
        <v>22</v>
      </c>
      <c r="M207" s="8">
        <v>45039</v>
      </c>
      <c r="N207" t="str">
        <f>_xlfn.XLOOKUP(B207,Customer_Master!A:A,Customer_Master!C:C,"Not Found")</f>
        <v>Mumbai</v>
      </c>
      <c r="O207" t="str">
        <f>_xlfn.XLOOKUP(B207,Customer_Master!A:A,Customer_Master!D:D,"Not Found")</f>
        <v>Salaried</v>
      </c>
      <c r="P207" t="str">
        <f>_xlfn.XLOOKUP(B207,Customer_Master!A:A,Customer_Master!E:E,"Not Found")</f>
        <v>Medium</v>
      </c>
      <c r="Q207" t="str" cm="1">
        <f t="array" ref="Q207">_xlfn.IFS(H207&lt;600,"High Risk",H207&lt;=750,"Medium Risk",TRUE,"Low Risk")</f>
        <v>High Risk</v>
      </c>
    </row>
    <row r="208" spans="1:17" x14ac:dyDescent="0.3">
      <c r="A208" t="s">
        <v>360</v>
      </c>
      <c r="B208" t="s">
        <v>148</v>
      </c>
      <c r="C208">
        <v>41</v>
      </c>
      <c r="D208">
        <v>142365</v>
      </c>
      <c r="E208">
        <v>999100</v>
      </c>
      <c r="F208">
        <v>11.19</v>
      </c>
      <c r="G208">
        <v>240</v>
      </c>
      <c r="H208">
        <v>587</v>
      </c>
      <c r="I208" t="s">
        <v>15</v>
      </c>
      <c r="J208" t="s">
        <v>39</v>
      </c>
      <c r="K208">
        <v>10442</v>
      </c>
      <c r="L208" t="s">
        <v>22</v>
      </c>
      <c r="M208" s="8">
        <v>45316</v>
      </c>
      <c r="N208" t="str">
        <f>_xlfn.XLOOKUP(B208,Customer_Master!A:A,Customer_Master!C:C,"Not Found")</f>
        <v>Chennai</v>
      </c>
      <c r="O208" t="str">
        <f>_xlfn.XLOOKUP(B208,Customer_Master!A:A,Customer_Master!D:D,"Not Found")</f>
        <v>Self-Employed</v>
      </c>
      <c r="P208" t="str">
        <f>_xlfn.XLOOKUP(B208,Customer_Master!A:A,Customer_Master!E:E,"Not Found")</f>
        <v>Low</v>
      </c>
      <c r="Q208" t="str" cm="1">
        <f t="array" ref="Q208">_xlfn.IFS(H208&lt;600,"High Risk",H208&lt;=750,"Medium Risk",TRUE,"Low Risk")</f>
        <v>High Risk</v>
      </c>
    </row>
    <row r="209" spans="1:17" x14ac:dyDescent="0.3">
      <c r="A209" t="s">
        <v>361</v>
      </c>
      <c r="B209" t="s">
        <v>362</v>
      </c>
      <c r="C209">
        <v>59</v>
      </c>
      <c r="D209">
        <v>137340</v>
      </c>
      <c r="E209">
        <v>1697182</v>
      </c>
      <c r="F209">
        <v>15.52</v>
      </c>
      <c r="G209">
        <v>60</v>
      </c>
      <c r="H209">
        <v>480</v>
      </c>
      <c r="I209" t="s">
        <v>15</v>
      </c>
      <c r="J209" t="s">
        <v>21</v>
      </c>
      <c r="K209">
        <v>40841</v>
      </c>
      <c r="L209" t="s">
        <v>34</v>
      </c>
      <c r="M209" s="8">
        <v>44857</v>
      </c>
      <c r="N209" t="str">
        <f>_xlfn.XLOOKUP(B209,Customer_Master!A:A,Customer_Master!C:C,"Not Found")</f>
        <v>Delhi</v>
      </c>
      <c r="O209" t="str">
        <f>_xlfn.XLOOKUP(B209,Customer_Master!A:A,Customer_Master!D:D,"Not Found")</f>
        <v>Business Owner</v>
      </c>
      <c r="P209" t="str">
        <f>_xlfn.XLOOKUP(B209,Customer_Master!A:A,Customer_Master!E:E,"Not Found")</f>
        <v>Low</v>
      </c>
      <c r="Q209" t="str" cm="1">
        <f t="array" ref="Q209">_xlfn.IFS(H209&lt;600,"High Risk",H209&lt;=750,"Medium Risk",TRUE,"Low Risk")</f>
        <v>High Risk</v>
      </c>
    </row>
    <row r="210" spans="1:17" x14ac:dyDescent="0.3">
      <c r="A210" t="s">
        <v>363</v>
      </c>
      <c r="B210" t="s">
        <v>234</v>
      </c>
      <c r="C210">
        <v>25</v>
      </c>
      <c r="D210">
        <v>196268</v>
      </c>
      <c r="E210">
        <v>611033</v>
      </c>
      <c r="F210">
        <v>9.51</v>
      </c>
      <c r="G210">
        <v>120</v>
      </c>
      <c r="H210">
        <v>516</v>
      </c>
      <c r="I210" t="s">
        <v>15</v>
      </c>
      <c r="J210" t="s">
        <v>21</v>
      </c>
      <c r="K210">
        <v>7910</v>
      </c>
      <c r="L210" t="s">
        <v>22</v>
      </c>
      <c r="M210" s="8">
        <v>45329</v>
      </c>
      <c r="N210" t="str">
        <f>_xlfn.XLOOKUP(B210,Customer_Master!A:A,Customer_Master!C:C,"Not Found")</f>
        <v>Chennai</v>
      </c>
      <c r="O210" t="str">
        <f>_xlfn.XLOOKUP(B210,Customer_Master!A:A,Customer_Master!D:D,"Not Found")</f>
        <v>Self-Employed</v>
      </c>
      <c r="P210" t="str">
        <f>_xlfn.XLOOKUP(B210,Customer_Master!A:A,Customer_Master!E:E,"Not Found")</f>
        <v>Low</v>
      </c>
      <c r="Q210" t="str" cm="1">
        <f t="array" ref="Q210">_xlfn.IFS(H210&lt;600,"High Risk",H210&lt;=750,"Medium Risk",TRUE,"Low Risk")</f>
        <v>High Risk</v>
      </c>
    </row>
    <row r="211" spans="1:17" x14ac:dyDescent="0.3">
      <c r="A211" t="s">
        <v>364</v>
      </c>
      <c r="B211" t="s">
        <v>365</v>
      </c>
      <c r="C211">
        <v>52</v>
      </c>
      <c r="D211">
        <v>29175</v>
      </c>
      <c r="E211">
        <v>1738037</v>
      </c>
      <c r="F211">
        <v>12.09</v>
      </c>
      <c r="G211">
        <v>120</v>
      </c>
      <c r="H211">
        <v>543</v>
      </c>
      <c r="I211" t="s">
        <v>15</v>
      </c>
      <c r="J211" t="s">
        <v>16</v>
      </c>
      <c r="K211">
        <v>25026</v>
      </c>
      <c r="L211" t="s">
        <v>22</v>
      </c>
      <c r="M211" s="8">
        <v>44991</v>
      </c>
      <c r="N211" t="str">
        <f>_xlfn.XLOOKUP(B211,Customer_Master!A:A,Customer_Master!C:C,"Not Found")</f>
        <v>Pune</v>
      </c>
      <c r="O211" t="str">
        <f>_xlfn.XLOOKUP(B211,Customer_Master!A:A,Customer_Master!D:D,"Not Found")</f>
        <v>Business Owner</v>
      </c>
      <c r="P211" t="str">
        <f>_xlfn.XLOOKUP(B211,Customer_Master!A:A,Customer_Master!E:E,"Not Found")</f>
        <v>Low</v>
      </c>
      <c r="Q211" t="str" cm="1">
        <f t="array" ref="Q211">_xlfn.IFS(H211&lt;600,"High Risk",H211&lt;=750,"Medium Risk",TRUE,"Low Risk")</f>
        <v>High Risk</v>
      </c>
    </row>
    <row r="212" spans="1:17" x14ac:dyDescent="0.3">
      <c r="A212" t="s">
        <v>366</v>
      </c>
      <c r="B212" t="s">
        <v>24</v>
      </c>
      <c r="C212">
        <v>42</v>
      </c>
      <c r="D212">
        <v>43317</v>
      </c>
      <c r="E212">
        <v>627332</v>
      </c>
      <c r="F212">
        <v>13.15</v>
      </c>
      <c r="G212">
        <v>48</v>
      </c>
      <c r="H212">
        <v>540</v>
      </c>
      <c r="I212" t="s">
        <v>20</v>
      </c>
      <c r="J212" t="s">
        <v>16</v>
      </c>
      <c r="K212">
        <v>16876</v>
      </c>
      <c r="L212" t="s">
        <v>34</v>
      </c>
      <c r="M212" s="8">
        <v>44758</v>
      </c>
      <c r="N212" t="str">
        <f>_xlfn.XLOOKUP(B212,Customer_Master!A:A,Customer_Master!C:C,"Not Found")</f>
        <v>Pune</v>
      </c>
      <c r="O212" t="str">
        <f>_xlfn.XLOOKUP(B212,Customer_Master!A:A,Customer_Master!D:D,"Not Found")</f>
        <v>Business Owner</v>
      </c>
      <c r="P212" t="str">
        <f>_xlfn.XLOOKUP(B212,Customer_Master!A:A,Customer_Master!E:E,"Not Found")</f>
        <v>High</v>
      </c>
      <c r="Q212" t="str" cm="1">
        <f t="array" ref="Q212">_xlfn.IFS(H212&lt;600,"High Risk",H212&lt;=750,"Medium Risk",TRUE,"Low Risk")</f>
        <v>High Risk</v>
      </c>
    </row>
    <row r="213" spans="1:17" x14ac:dyDescent="0.3">
      <c r="A213" t="s">
        <v>367</v>
      </c>
      <c r="B213" t="s">
        <v>325</v>
      </c>
      <c r="C213">
        <v>34</v>
      </c>
      <c r="D213">
        <v>157041</v>
      </c>
      <c r="E213">
        <v>139525</v>
      </c>
      <c r="F213">
        <v>9.64</v>
      </c>
      <c r="G213">
        <v>12</v>
      </c>
      <c r="H213">
        <v>832</v>
      </c>
      <c r="I213" t="s">
        <v>27</v>
      </c>
      <c r="J213" t="s">
        <v>21</v>
      </c>
      <c r="K213">
        <v>12243</v>
      </c>
      <c r="L213" t="s">
        <v>22</v>
      </c>
      <c r="M213" s="8">
        <v>45093</v>
      </c>
      <c r="N213" t="str">
        <f>_xlfn.XLOOKUP(B213,Customer_Master!A:A,Customer_Master!C:C,"Not Found")</f>
        <v>Hyderabad</v>
      </c>
      <c r="O213" t="str">
        <f>_xlfn.XLOOKUP(B213,Customer_Master!A:A,Customer_Master!D:D,"Not Found")</f>
        <v>Self-Employed</v>
      </c>
      <c r="P213" t="str">
        <f>_xlfn.XLOOKUP(B213,Customer_Master!A:A,Customer_Master!E:E,"Not Found")</f>
        <v>High</v>
      </c>
      <c r="Q213" t="str" cm="1">
        <f t="array" ref="Q213">_xlfn.IFS(H213&lt;600,"High Risk",H213&lt;=750,"Medium Risk",TRUE,"Low Risk")</f>
        <v>Low Risk</v>
      </c>
    </row>
    <row r="214" spans="1:17" x14ac:dyDescent="0.3">
      <c r="A214" t="s">
        <v>368</v>
      </c>
      <c r="B214" t="s">
        <v>80</v>
      </c>
      <c r="C214">
        <v>56</v>
      </c>
      <c r="D214">
        <v>137121</v>
      </c>
      <c r="E214">
        <v>828258</v>
      </c>
      <c r="F214">
        <v>8.2899999999999991</v>
      </c>
      <c r="G214">
        <v>48</v>
      </c>
      <c r="H214">
        <v>810</v>
      </c>
      <c r="I214" t="s">
        <v>27</v>
      </c>
      <c r="J214" t="s">
        <v>21</v>
      </c>
      <c r="K214">
        <v>20333</v>
      </c>
      <c r="L214" t="s">
        <v>22</v>
      </c>
      <c r="M214" s="8">
        <v>45511</v>
      </c>
      <c r="N214" t="str">
        <f>_xlfn.XLOOKUP(B214,Customer_Master!A:A,Customer_Master!C:C,"Not Found")</f>
        <v>Pune</v>
      </c>
      <c r="O214" t="str">
        <f>_xlfn.XLOOKUP(B214,Customer_Master!A:A,Customer_Master!D:D,"Not Found")</f>
        <v>Business Owner</v>
      </c>
      <c r="P214" t="str">
        <f>_xlfn.XLOOKUP(B214,Customer_Master!A:A,Customer_Master!E:E,"Not Found")</f>
        <v>High</v>
      </c>
      <c r="Q214" t="str" cm="1">
        <f t="array" ref="Q214">_xlfn.IFS(H214&lt;600,"High Risk",H214&lt;=750,"Medium Risk",TRUE,"Low Risk")</f>
        <v>Low Risk</v>
      </c>
    </row>
    <row r="215" spans="1:17" x14ac:dyDescent="0.3">
      <c r="A215" t="s">
        <v>369</v>
      </c>
      <c r="B215" t="s">
        <v>370</v>
      </c>
      <c r="C215">
        <v>26</v>
      </c>
      <c r="D215">
        <v>134969</v>
      </c>
      <c r="E215">
        <v>705506</v>
      </c>
      <c r="F215">
        <v>11.38</v>
      </c>
      <c r="G215">
        <v>48</v>
      </c>
      <c r="H215">
        <v>785</v>
      </c>
      <c r="I215" t="s">
        <v>31</v>
      </c>
      <c r="J215" t="s">
        <v>21</v>
      </c>
      <c r="K215">
        <v>18365</v>
      </c>
      <c r="L215" t="s">
        <v>22</v>
      </c>
      <c r="M215" s="8">
        <v>44947</v>
      </c>
      <c r="N215" t="str">
        <f>_xlfn.XLOOKUP(B215,Customer_Master!A:A,Customer_Master!C:C,"Not Found")</f>
        <v>Pune</v>
      </c>
      <c r="O215" t="str">
        <f>_xlfn.XLOOKUP(B215,Customer_Master!A:A,Customer_Master!D:D,"Not Found")</f>
        <v>Salaried</v>
      </c>
      <c r="P215" t="str">
        <f>_xlfn.XLOOKUP(B215,Customer_Master!A:A,Customer_Master!E:E,"Not Found")</f>
        <v>High</v>
      </c>
      <c r="Q215" t="str" cm="1">
        <f t="array" ref="Q215">_xlfn.IFS(H215&lt;600,"High Risk",H215&lt;=750,"Medium Risk",TRUE,"Low Risk")</f>
        <v>Low Risk</v>
      </c>
    </row>
    <row r="216" spans="1:17" x14ac:dyDescent="0.3">
      <c r="A216" t="s">
        <v>371</v>
      </c>
      <c r="B216" t="s">
        <v>252</v>
      </c>
      <c r="C216">
        <v>38</v>
      </c>
      <c r="D216">
        <v>33885</v>
      </c>
      <c r="E216">
        <v>915412</v>
      </c>
      <c r="F216">
        <v>14.68</v>
      </c>
      <c r="G216">
        <v>24</v>
      </c>
      <c r="H216">
        <v>648</v>
      </c>
      <c r="I216" t="s">
        <v>20</v>
      </c>
      <c r="J216" t="s">
        <v>21</v>
      </c>
      <c r="K216">
        <v>44246</v>
      </c>
      <c r="L216" t="s">
        <v>17</v>
      </c>
      <c r="M216" s="8">
        <v>45153</v>
      </c>
      <c r="N216" t="str">
        <f>_xlfn.XLOOKUP(B216,Customer_Master!A:A,Customer_Master!C:C,"Not Found")</f>
        <v>Mumbai</v>
      </c>
      <c r="O216" t="str">
        <f>_xlfn.XLOOKUP(B216,Customer_Master!A:A,Customer_Master!D:D,"Not Found")</f>
        <v>Self-Employed</v>
      </c>
      <c r="P216" t="str">
        <f>_xlfn.XLOOKUP(B216,Customer_Master!A:A,Customer_Master!E:E,"Not Found")</f>
        <v>Low</v>
      </c>
      <c r="Q216" t="str" cm="1">
        <f t="array" ref="Q216">_xlfn.IFS(H216&lt;600,"High Risk",H216&lt;=750,"Medium Risk",TRUE,"Low Risk")</f>
        <v>Medium Risk</v>
      </c>
    </row>
    <row r="217" spans="1:17" x14ac:dyDescent="0.3">
      <c r="A217" t="s">
        <v>372</v>
      </c>
      <c r="B217" t="s">
        <v>201</v>
      </c>
      <c r="C217">
        <v>49</v>
      </c>
      <c r="D217">
        <v>114563</v>
      </c>
      <c r="E217">
        <v>1227034</v>
      </c>
      <c r="F217">
        <v>12.63</v>
      </c>
      <c r="G217">
        <v>48</v>
      </c>
      <c r="H217">
        <v>562</v>
      </c>
      <c r="I217" t="s">
        <v>27</v>
      </c>
      <c r="J217" t="s">
        <v>21</v>
      </c>
      <c r="K217">
        <v>32693</v>
      </c>
      <c r="L217" t="s">
        <v>34</v>
      </c>
      <c r="M217" s="8">
        <v>45180</v>
      </c>
      <c r="N217" t="str">
        <f>_xlfn.XLOOKUP(B217,Customer_Master!A:A,Customer_Master!C:C,"Not Found")</f>
        <v>Pune</v>
      </c>
      <c r="O217" t="str">
        <f>_xlfn.XLOOKUP(B217,Customer_Master!A:A,Customer_Master!D:D,"Not Found")</f>
        <v>Business Owner</v>
      </c>
      <c r="P217" t="str">
        <f>_xlfn.XLOOKUP(B217,Customer_Master!A:A,Customer_Master!E:E,"Not Found")</f>
        <v>Medium</v>
      </c>
      <c r="Q217" t="str" cm="1">
        <f t="array" ref="Q217">_xlfn.IFS(H217&lt;600,"High Risk",H217&lt;=750,"Medium Risk",TRUE,"Low Risk")</f>
        <v>High Risk</v>
      </c>
    </row>
    <row r="218" spans="1:17" x14ac:dyDescent="0.3">
      <c r="A218" t="s">
        <v>373</v>
      </c>
      <c r="B218" t="s">
        <v>290</v>
      </c>
      <c r="C218">
        <v>36</v>
      </c>
      <c r="D218">
        <v>137414</v>
      </c>
      <c r="E218">
        <v>314618</v>
      </c>
      <c r="F218">
        <v>9.8699999999999992</v>
      </c>
      <c r="G218">
        <v>24</v>
      </c>
      <c r="H218">
        <v>606</v>
      </c>
      <c r="I218" t="s">
        <v>20</v>
      </c>
      <c r="J218" t="s">
        <v>28</v>
      </c>
      <c r="K218">
        <v>14499</v>
      </c>
      <c r="L218" t="s">
        <v>22</v>
      </c>
      <c r="M218" s="8">
        <v>45168</v>
      </c>
      <c r="N218" t="str">
        <f>_xlfn.XLOOKUP(B218,Customer_Master!A:A,Customer_Master!C:C,"Not Found")</f>
        <v>Mumbai</v>
      </c>
      <c r="O218" t="str">
        <f>_xlfn.XLOOKUP(B218,Customer_Master!A:A,Customer_Master!D:D,"Not Found")</f>
        <v>Salaried</v>
      </c>
      <c r="P218" t="str">
        <f>_xlfn.XLOOKUP(B218,Customer_Master!A:A,Customer_Master!E:E,"Not Found")</f>
        <v>Medium</v>
      </c>
      <c r="Q218" t="str" cm="1">
        <f t="array" ref="Q218">_xlfn.IFS(H218&lt;600,"High Risk",H218&lt;=750,"Medium Risk",TRUE,"Low Risk")</f>
        <v>Medium Risk</v>
      </c>
    </row>
    <row r="219" spans="1:17" x14ac:dyDescent="0.3">
      <c r="A219" t="s">
        <v>374</v>
      </c>
      <c r="B219" t="s">
        <v>216</v>
      </c>
      <c r="C219">
        <v>55</v>
      </c>
      <c r="D219">
        <v>65472</v>
      </c>
      <c r="E219">
        <v>537413</v>
      </c>
      <c r="F219">
        <v>8.2899999999999991</v>
      </c>
      <c r="G219">
        <v>180</v>
      </c>
      <c r="H219">
        <v>487</v>
      </c>
      <c r="I219" t="s">
        <v>20</v>
      </c>
      <c r="J219" t="s">
        <v>28</v>
      </c>
      <c r="K219">
        <v>5226</v>
      </c>
      <c r="L219" t="s">
        <v>34</v>
      </c>
      <c r="M219" s="8">
        <v>45530</v>
      </c>
      <c r="N219" t="str">
        <f>_xlfn.XLOOKUP(B219,Customer_Master!A:A,Customer_Master!C:C,"Not Found")</f>
        <v>Chennai</v>
      </c>
      <c r="O219" t="str">
        <f>_xlfn.XLOOKUP(B219,Customer_Master!A:A,Customer_Master!D:D,"Not Found")</f>
        <v>Business Owner</v>
      </c>
      <c r="P219" t="str">
        <f>_xlfn.XLOOKUP(B219,Customer_Master!A:A,Customer_Master!E:E,"Not Found")</f>
        <v>Medium</v>
      </c>
      <c r="Q219" t="str" cm="1">
        <f t="array" ref="Q219">_xlfn.IFS(H219&lt;600,"High Risk",H219&lt;=750,"Medium Risk",TRUE,"Low Risk")</f>
        <v>High Risk</v>
      </c>
    </row>
    <row r="220" spans="1:17" x14ac:dyDescent="0.3">
      <c r="A220" t="s">
        <v>375</v>
      </c>
      <c r="B220" t="s">
        <v>376</v>
      </c>
      <c r="C220">
        <v>36</v>
      </c>
      <c r="D220">
        <v>142139</v>
      </c>
      <c r="E220">
        <v>585419</v>
      </c>
      <c r="F220">
        <v>11.83</v>
      </c>
      <c r="G220">
        <v>36</v>
      </c>
      <c r="H220">
        <v>577</v>
      </c>
      <c r="I220" t="s">
        <v>31</v>
      </c>
      <c r="J220" t="s">
        <v>39</v>
      </c>
      <c r="K220">
        <v>19397</v>
      </c>
      <c r="L220" t="s">
        <v>17</v>
      </c>
      <c r="M220" s="8">
        <v>44991</v>
      </c>
      <c r="N220" t="str">
        <f>_xlfn.XLOOKUP(B220,Customer_Master!A:A,Customer_Master!C:C,"Not Found")</f>
        <v>Bangalore</v>
      </c>
      <c r="O220" t="str">
        <f>_xlfn.XLOOKUP(B220,Customer_Master!A:A,Customer_Master!D:D,"Not Found")</f>
        <v>Self-Employed</v>
      </c>
      <c r="P220" t="str">
        <f>_xlfn.XLOOKUP(B220,Customer_Master!A:A,Customer_Master!E:E,"Not Found")</f>
        <v>Medium</v>
      </c>
      <c r="Q220" t="str" cm="1">
        <f t="array" ref="Q220">_xlfn.IFS(H220&lt;600,"High Risk",H220&lt;=750,"Medium Risk",TRUE,"Low Risk")</f>
        <v>High Risk</v>
      </c>
    </row>
    <row r="221" spans="1:17" x14ac:dyDescent="0.3">
      <c r="A221" t="s">
        <v>377</v>
      </c>
      <c r="B221" t="s">
        <v>262</v>
      </c>
      <c r="C221">
        <v>24</v>
      </c>
      <c r="D221">
        <v>128119</v>
      </c>
      <c r="E221">
        <v>1721651</v>
      </c>
      <c r="F221">
        <v>11.35</v>
      </c>
      <c r="G221">
        <v>24</v>
      </c>
      <c r="H221">
        <v>454</v>
      </c>
      <c r="I221" t="s">
        <v>31</v>
      </c>
      <c r="J221" t="s">
        <v>16</v>
      </c>
      <c r="K221">
        <v>80522</v>
      </c>
      <c r="L221" t="s">
        <v>34</v>
      </c>
      <c r="M221" s="8">
        <v>45284</v>
      </c>
      <c r="N221" t="str">
        <f>_xlfn.XLOOKUP(B221,Customer_Master!A:A,Customer_Master!C:C,"Not Found")</f>
        <v>Delhi</v>
      </c>
      <c r="O221" t="str">
        <f>_xlfn.XLOOKUP(B221,Customer_Master!A:A,Customer_Master!D:D,"Not Found")</f>
        <v>Salaried</v>
      </c>
      <c r="P221" t="str">
        <f>_xlfn.XLOOKUP(B221,Customer_Master!A:A,Customer_Master!E:E,"Not Found")</f>
        <v>Low</v>
      </c>
      <c r="Q221" t="str" cm="1">
        <f t="array" ref="Q221">_xlfn.IFS(H221&lt;600,"High Risk",H221&lt;=750,"Medium Risk",TRUE,"Low Risk")</f>
        <v>High Risk</v>
      </c>
    </row>
    <row r="222" spans="1:17" x14ac:dyDescent="0.3">
      <c r="A222" t="s">
        <v>378</v>
      </c>
      <c r="B222" t="s">
        <v>127</v>
      </c>
      <c r="C222">
        <v>40</v>
      </c>
      <c r="D222">
        <v>47971</v>
      </c>
      <c r="E222">
        <v>560691</v>
      </c>
      <c r="F222">
        <v>10.84</v>
      </c>
      <c r="G222">
        <v>240</v>
      </c>
      <c r="H222">
        <v>703</v>
      </c>
      <c r="I222" t="s">
        <v>27</v>
      </c>
      <c r="J222" t="s">
        <v>39</v>
      </c>
      <c r="K222">
        <v>5726</v>
      </c>
      <c r="L222" t="s">
        <v>17</v>
      </c>
      <c r="M222" s="8">
        <v>44698</v>
      </c>
      <c r="N222" t="str">
        <f>_xlfn.XLOOKUP(B222,Customer_Master!A:A,Customer_Master!C:C,"Not Found")</f>
        <v>Bangalore</v>
      </c>
      <c r="O222" t="str">
        <f>_xlfn.XLOOKUP(B222,Customer_Master!A:A,Customer_Master!D:D,"Not Found")</f>
        <v>Salaried</v>
      </c>
      <c r="P222" t="str">
        <f>_xlfn.XLOOKUP(B222,Customer_Master!A:A,Customer_Master!E:E,"Not Found")</f>
        <v>Medium</v>
      </c>
      <c r="Q222" t="str" cm="1">
        <f t="array" ref="Q222">_xlfn.IFS(H222&lt;600,"High Risk",H222&lt;=750,"Medium Risk",TRUE,"Low Risk")</f>
        <v>Medium Risk</v>
      </c>
    </row>
    <row r="223" spans="1:17" x14ac:dyDescent="0.3">
      <c r="A223" t="s">
        <v>379</v>
      </c>
      <c r="B223" t="s">
        <v>380</v>
      </c>
      <c r="C223">
        <v>48</v>
      </c>
      <c r="D223">
        <v>109846</v>
      </c>
      <c r="E223">
        <v>388446</v>
      </c>
      <c r="F223">
        <v>9.94</v>
      </c>
      <c r="G223">
        <v>180</v>
      </c>
      <c r="H223">
        <v>508</v>
      </c>
      <c r="I223" t="s">
        <v>20</v>
      </c>
      <c r="J223" t="s">
        <v>28</v>
      </c>
      <c r="K223">
        <v>4160</v>
      </c>
      <c r="L223" t="s">
        <v>22</v>
      </c>
      <c r="M223" s="8">
        <v>44693</v>
      </c>
      <c r="N223" t="str">
        <f>_xlfn.XLOOKUP(B223,Customer_Master!A:A,Customer_Master!C:C,"Not Found")</f>
        <v>Hyderabad</v>
      </c>
      <c r="O223" t="str">
        <f>_xlfn.XLOOKUP(B223,Customer_Master!A:A,Customer_Master!D:D,"Not Found")</f>
        <v>Salaried</v>
      </c>
      <c r="P223" t="str">
        <f>_xlfn.XLOOKUP(B223,Customer_Master!A:A,Customer_Master!E:E,"Not Found")</f>
        <v>Medium</v>
      </c>
      <c r="Q223" t="str" cm="1">
        <f t="array" ref="Q223">_xlfn.IFS(H223&lt;600,"High Risk",H223&lt;=750,"Medium Risk",TRUE,"Low Risk")</f>
        <v>High Risk</v>
      </c>
    </row>
    <row r="224" spans="1:17" x14ac:dyDescent="0.3">
      <c r="A224" t="s">
        <v>381</v>
      </c>
      <c r="B224" t="s">
        <v>293</v>
      </c>
      <c r="C224">
        <v>58</v>
      </c>
      <c r="D224">
        <v>127225</v>
      </c>
      <c r="E224">
        <v>596049</v>
      </c>
      <c r="F224">
        <v>10.55</v>
      </c>
      <c r="G224">
        <v>24</v>
      </c>
      <c r="H224">
        <v>451</v>
      </c>
      <c r="I224" t="s">
        <v>20</v>
      </c>
      <c r="J224" t="s">
        <v>16</v>
      </c>
      <c r="K224">
        <v>27656</v>
      </c>
      <c r="L224" t="s">
        <v>34</v>
      </c>
      <c r="M224" s="8">
        <v>45556</v>
      </c>
      <c r="N224" t="str">
        <f>_xlfn.XLOOKUP(B224,Customer_Master!A:A,Customer_Master!C:C,"Not Found")</f>
        <v>Delhi</v>
      </c>
      <c r="O224" t="str">
        <f>_xlfn.XLOOKUP(B224,Customer_Master!A:A,Customer_Master!D:D,"Not Found")</f>
        <v>Salaried</v>
      </c>
      <c r="P224" t="str">
        <f>_xlfn.XLOOKUP(B224,Customer_Master!A:A,Customer_Master!E:E,"Not Found")</f>
        <v>High</v>
      </c>
      <c r="Q224" t="str" cm="1">
        <f t="array" ref="Q224">_xlfn.IFS(H224&lt;600,"High Risk",H224&lt;=750,"Medium Risk",TRUE,"Low Risk")</f>
        <v>High Risk</v>
      </c>
    </row>
    <row r="225" spans="1:17" x14ac:dyDescent="0.3">
      <c r="A225" t="s">
        <v>382</v>
      </c>
      <c r="B225" t="s">
        <v>176</v>
      </c>
      <c r="C225">
        <v>23</v>
      </c>
      <c r="D225">
        <v>71016</v>
      </c>
      <c r="E225">
        <v>1838365</v>
      </c>
      <c r="F225">
        <v>13.67</v>
      </c>
      <c r="G225">
        <v>240</v>
      </c>
      <c r="H225">
        <v>631</v>
      </c>
      <c r="I225" t="s">
        <v>31</v>
      </c>
      <c r="J225" t="s">
        <v>28</v>
      </c>
      <c r="K225">
        <v>22421</v>
      </c>
      <c r="L225" t="s">
        <v>22</v>
      </c>
      <c r="M225" s="8">
        <v>44605</v>
      </c>
      <c r="N225" t="str">
        <f>_xlfn.XLOOKUP(B225,Customer_Master!A:A,Customer_Master!C:C,"Not Found")</f>
        <v>Chennai</v>
      </c>
      <c r="O225" t="str">
        <f>_xlfn.XLOOKUP(B225,Customer_Master!A:A,Customer_Master!D:D,"Not Found")</f>
        <v>Self-Employed</v>
      </c>
      <c r="P225" t="str">
        <f>_xlfn.XLOOKUP(B225,Customer_Master!A:A,Customer_Master!E:E,"Not Found")</f>
        <v>High</v>
      </c>
      <c r="Q225" t="str" cm="1">
        <f t="array" ref="Q225">_xlfn.IFS(H225&lt;600,"High Risk",H225&lt;=750,"Medium Risk",TRUE,"Low Risk")</f>
        <v>Medium Risk</v>
      </c>
    </row>
    <row r="226" spans="1:17" x14ac:dyDescent="0.3">
      <c r="A226" t="s">
        <v>383</v>
      </c>
      <c r="B226" t="s">
        <v>384</v>
      </c>
      <c r="C226">
        <v>48</v>
      </c>
      <c r="D226">
        <v>199608</v>
      </c>
      <c r="E226">
        <v>1080310</v>
      </c>
      <c r="F226">
        <v>14.95</v>
      </c>
      <c r="G226">
        <v>120</v>
      </c>
      <c r="H226">
        <v>826</v>
      </c>
      <c r="I226" t="s">
        <v>27</v>
      </c>
      <c r="J226" t="s">
        <v>39</v>
      </c>
      <c r="K226">
        <v>17396</v>
      </c>
      <c r="L226" t="s">
        <v>17</v>
      </c>
      <c r="M226" s="8">
        <v>44899</v>
      </c>
      <c r="N226" t="str">
        <f>_xlfn.XLOOKUP(B226,Customer_Master!A:A,Customer_Master!C:C,"Not Found")</f>
        <v>Bangalore</v>
      </c>
      <c r="O226" t="str">
        <f>_xlfn.XLOOKUP(B226,Customer_Master!A:A,Customer_Master!D:D,"Not Found")</f>
        <v>Salaried</v>
      </c>
      <c r="P226" t="str">
        <f>_xlfn.XLOOKUP(B226,Customer_Master!A:A,Customer_Master!E:E,"Not Found")</f>
        <v>Medium</v>
      </c>
      <c r="Q226" t="str" cm="1">
        <f t="array" ref="Q226">_xlfn.IFS(H226&lt;600,"High Risk",H226&lt;=750,"Medium Risk",TRUE,"Low Risk")</f>
        <v>Low Risk</v>
      </c>
    </row>
    <row r="227" spans="1:17" x14ac:dyDescent="0.3">
      <c r="A227" t="s">
        <v>385</v>
      </c>
      <c r="B227" t="s">
        <v>61</v>
      </c>
      <c r="C227">
        <v>44</v>
      </c>
      <c r="D227">
        <v>29827</v>
      </c>
      <c r="E227">
        <v>550981</v>
      </c>
      <c r="F227">
        <v>12.66</v>
      </c>
      <c r="G227">
        <v>60</v>
      </c>
      <c r="H227">
        <v>529</v>
      </c>
      <c r="I227" t="s">
        <v>31</v>
      </c>
      <c r="J227" t="s">
        <v>39</v>
      </c>
      <c r="K227">
        <v>12441</v>
      </c>
      <c r="L227" t="s">
        <v>22</v>
      </c>
      <c r="M227" s="8">
        <v>44851</v>
      </c>
      <c r="N227" t="str">
        <f>_xlfn.XLOOKUP(B227,Customer_Master!A:A,Customer_Master!C:C,"Not Found")</f>
        <v>Pune</v>
      </c>
      <c r="O227" t="str">
        <f>_xlfn.XLOOKUP(B227,Customer_Master!A:A,Customer_Master!D:D,"Not Found")</f>
        <v>Business Owner</v>
      </c>
      <c r="P227" t="str">
        <f>_xlfn.XLOOKUP(B227,Customer_Master!A:A,Customer_Master!E:E,"Not Found")</f>
        <v>Medium</v>
      </c>
      <c r="Q227" t="str" cm="1">
        <f t="array" ref="Q227">_xlfn.IFS(H227&lt;600,"High Risk",H227&lt;=750,"Medium Risk",TRUE,"Low Risk")</f>
        <v>High Risk</v>
      </c>
    </row>
    <row r="228" spans="1:17" x14ac:dyDescent="0.3">
      <c r="A228" t="s">
        <v>386</v>
      </c>
      <c r="B228" t="s">
        <v>387</v>
      </c>
      <c r="C228">
        <v>59</v>
      </c>
      <c r="D228">
        <v>187263</v>
      </c>
      <c r="E228">
        <v>1307042</v>
      </c>
      <c r="F228">
        <v>15.7</v>
      </c>
      <c r="G228">
        <v>180</v>
      </c>
      <c r="H228">
        <v>649</v>
      </c>
      <c r="I228" t="s">
        <v>27</v>
      </c>
      <c r="J228" t="s">
        <v>21</v>
      </c>
      <c r="K228">
        <v>18924</v>
      </c>
      <c r="L228" t="s">
        <v>17</v>
      </c>
      <c r="M228" s="8">
        <v>45247</v>
      </c>
      <c r="N228" t="str">
        <f>_xlfn.XLOOKUP(B228,Customer_Master!A:A,Customer_Master!C:C,"Not Found")</f>
        <v>Pune</v>
      </c>
      <c r="O228" t="str">
        <f>_xlfn.XLOOKUP(B228,Customer_Master!A:A,Customer_Master!D:D,"Not Found")</f>
        <v>Salaried</v>
      </c>
      <c r="P228" t="str">
        <f>_xlfn.XLOOKUP(B228,Customer_Master!A:A,Customer_Master!E:E,"Not Found")</f>
        <v>Medium</v>
      </c>
      <c r="Q228" t="str" cm="1">
        <f t="array" ref="Q228">_xlfn.IFS(H228&lt;600,"High Risk",H228&lt;=750,"Medium Risk",TRUE,"Low Risk")</f>
        <v>Medium Risk</v>
      </c>
    </row>
    <row r="229" spans="1:17" x14ac:dyDescent="0.3">
      <c r="A229" t="s">
        <v>388</v>
      </c>
      <c r="B229" t="s">
        <v>389</v>
      </c>
      <c r="C229">
        <v>53</v>
      </c>
      <c r="D229">
        <v>82758</v>
      </c>
      <c r="E229">
        <v>683716</v>
      </c>
      <c r="F229">
        <v>7.56</v>
      </c>
      <c r="G229">
        <v>24</v>
      </c>
      <c r="H229">
        <v>747</v>
      </c>
      <c r="I229" t="s">
        <v>20</v>
      </c>
      <c r="J229" t="s">
        <v>21</v>
      </c>
      <c r="K229">
        <v>30786</v>
      </c>
      <c r="L229" t="s">
        <v>22</v>
      </c>
      <c r="M229" s="8">
        <v>44807</v>
      </c>
      <c r="N229" t="str">
        <f>_xlfn.XLOOKUP(B229,Customer_Master!A:A,Customer_Master!C:C,"Not Found")</f>
        <v>Pune</v>
      </c>
      <c r="O229" t="str">
        <f>_xlfn.XLOOKUP(B229,Customer_Master!A:A,Customer_Master!D:D,"Not Found")</f>
        <v>Self-Employed</v>
      </c>
      <c r="P229" t="str">
        <f>_xlfn.XLOOKUP(B229,Customer_Master!A:A,Customer_Master!E:E,"Not Found")</f>
        <v>Medium</v>
      </c>
      <c r="Q229" t="str" cm="1">
        <f t="array" ref="Q229">_xlfn.IFS(H229&lt;600,"High Risk",H229&lt;=750,"Medium Risk",TRUE,"Low Risk")</f>
        <v>Medium Risk</v>
      </c>
    </row>
    <row r="230" spans="1:17" x14ac:dyDescent="0.3">
      <c r="A230" t="s">
        <v>390</v>
      </c>
      <c r="B230" t="s">
        <v>391</v>
      </c>
      <c r="C230">
        <v>41</v>
      </c>
      <c r="D230">
        <v>174834</v>
      </c>
      <c r="E230">
        <v>1071476</v>
      </c>
      <c r="F230">
        <v>12.81</v>
      </c>
      <c r="G230">
        <v>12</v>
      </c>
      <c r="H230">
        <v>725</v>
      </c>
      <c r="I230" t="s">
        <v>31</v>
      </c>
      <c r="J230" t="s">
        <v>39</v>
      </c>
      <c r="K230">
        <v>95606</v>
      </c>
      <c r="L230" t="s">
        <v>17</v>
      </c>
      <c r="M230" s="8">
        <v>44703</v>
      </c>
      <c r="N230" t="str">
        <f>_xlfn.XLOOKUP(B230,Customer_Master!A:A,Customer_Master!C:C,"Not Found")</f>
        <v>Delhi</v>
      </c>
      <c r="O230" t="str">
        <f>_xlfn.XLOOKUP(B230,Customer_Master!A:A,Customer_Master!D:D,"Not Found")</f>
        <v>Business Owner</v>
      </c>
      <c r="P230" t="str">
        <f>_xlfn.XLOOKUP(B230,Customer_Master!A:A,Customer_Master!E:E,"Not Found")</f>
        <v>Medium</v>
      </c>
      <c r="Q230" t="str" cm="1">
        <f t="array" ref="Q230">_xlfn.IFS(H230&lt;600,"High Risk",H230&lt;=750,"Medium Risk",TRUE,"Low Risk")</f>
        <v>Medium Risk</v>
      </c>
    </row>
    <row r="231" spans="1:17" x14ac:dyDescent="0.3">
      <c r="A231" t="s">
        <v>392</v>
      </c>
      <c r="B231" t="s">
        <v>393</v>
      </c>
      <c r="C231">
        <v>50</v>
      </c>
      <c r="D231">
        <v>59946</v>
      </c>
      <c r="E231">
        <v>1095245</v>
      </c>
      <c r="F231">
        <v>16.309999999999999</v>
      </c>
      <c r="G231">
        <v>180</v>
      </c>
      <c r="H231">
        <v>732</v>
      </c>
      <c r="I231" t="s">
        <v>15</v>
      </c>
      <c r="J231" t="s">
        <v>16</v>
      </c>
      <c r="K231">
        <v>16323</v>
      </c>
      <c r="L231" t="s">
        <v>22</v>
      </c>
      <c r="M231" s="8">
        <v>45508</v>
      </c>
      <c r="N231" t="str">
        <f>_xlfn.XLOOKUP(B231,Customer_Master!A:A,Customer_Master!C:C,"Not Found")</f>
        <v>Chennai</v>
      </c>
      <c r="O231" t="str">
        <f>_xlfn.XLOOKUP(B231,Customer_Master!A:A,Customer_Master!D:D,"Not Found")</f>
        <v>Self-Employed</v>
      </c>
      <c r="P231" t="str">
        <f>_xlfn.XLOOKUP(B231,Customer_Master!A:A,Customer_Master!E:E,"Not Found")</f>
        <v>High</v>
      </c>
      <c r="Q231" t="str" cm="1">
        <f t="array" ref="Q231">_xlfn.IFS(H231&lt;600,"High Risk",H231&lt;=750,"Medium Risk",TRUE,"Low Risk")</f>
        <v>Medium Risk</v>
      </c>
    </row>
    <row r="232" spans="1:17" x14ac:dyDescent="0.3">
      <c r="A232" t="s">
        <v>394</v>
      </c>
      <c r="B232" t="s">
        <v>84</v>
      </c>
      <c r="C232">
        <v>46</v>
      </c>
      <c r="D232">
        <v>110497</v>
      </c>
      <c r="E232">
        <v>489311</v>
      </c>
      <c r="F232">
        <v>8.26</v>
      </c>
      <c r="G232">
        <v>180</v>
      </c>
      <c r="H232">
        <v>674</v>
      </c>
      <c r="I232" t="s">
        <v>20</v>
      </c>
      <c r="J232" t="s">
        <v>39</v>
      </c>
      <c r="K232">
        <v>4750</v>
      </c>
      <c r="L232" t="s">
        <v>22</v>
      </c>
      <c r="M232" s="8">
        <v>45098</v>
      </c>
      <c r="N232" t="str">
        <f>_xlfn.XLOOKUP(B232,Customer_Master!A:A,Customer_Master!C:C,"Not Found")</f>
        <v>Delhi</v>
      </c>
      <c r="O232" t="str">
        <f>_xlfn.XLOOKUP(B232,Customer_Master!A:A,Customer_Master!D:D,"Not Found")</f>
        <v>Business Owner</v>
      </c>
      <c r="P232" t="str">
        <f>_xlfn.XLOOKUP(B232,Customer_Master!A:A,Customer_Master!E:E,"Not Found")</f>
        <v>Low</v>
      </c>
      <c r="Q232" t="str" cm="1">
        <f t="array" ref="Q232">_xlfn.IFS(H232&lt;600,"High Risk",H232&lt;=750,"Medium Risk",TRUE,"Low Risk")</f>
        <v>Medium Risk</v>
      </c>
    </row>
    <row r="233" spans="1:17" x14ac:dyDescent="0.3">
      <c r="A233" t="s">
        <v>395</v>
      </c>
      <c r="B233" t="s">
        <v>396</v>
      </c>
      <c r="C233">
        <v>54</v>
      </c>
      <c r="D233">
        <v>79080</v>
      </c>
      <c r="E233">
        <v>1222490</v>
      </c>
      <c r="F233">
        <v>10.6</v>
      </c>
      <c r="G233">
        <v>48</v>
      </c>
      <c r="H233">
        <v>606</v>
      </c>
      <c r="I233" t="s">
        <v>20</v>
      </c>
      <c r="J233" t="s">
        <v>16</v>
      </c>
      <c r="K233">
        <v>31359</v>
      </c>
      <c r="L233" t="s">
        <v>17</v>
      </c>
      <c r="M233" s="8">
        <v>44591</v>
      </c>
      <c r="N233" t="str">
        <f>_xlfn.XLOOKUP(B233,Customer_Master!A:A,Customer_Master!C:C,"Not Found")</f>
        <v>Hyderabad</v>
      </c>
      <c r="O233" t="str">
        <f>_xlfn.XLOOKUP(B233,Customer_Master!A:A,Customer_Master!D:D,"Not Found")</f>
        <v>Salaried</v>
      </c>
      <c r="P233" t="str">
        <f>_xlfn.XLOOKUP(B233,Customer_Master!A:A,Customer_Master!E:E,"Not Found")</f>
        <v>High</v>
      </c>
      <c r="Q233" t="str" cm="1">
        <f t="array" ref="Q233">_xlfn.IFS(H233&lt;600,"High Risk",H233&lt;=750,"Medium Risk",TRUE,"Low Risk")</f>
        <v>Medium Risk</v>
      </c>
    </row>
    <row r="234" spans="1:17" x14ac:dyDescent="0.3">
      <c r="A234" t="s">
        <v>397</v>
      </c>
      <c r="B234" t="s">
        <v>82</v>
      </c>
      <c r="C234">
        <v>59</v>
      </c>
      <c r="D234">
        <v>150601</v>
      </c>
      <c r="E234">
        <v>390350</v>
      </c>
      <c r="F234">
        <v>13.69</v>
      </c>
      <c r="G234">
        <v>24</v>
      </c>
      <c r="H234">
        <v>522</v>
      </c>
      <c r="I234" t="s">
        <v>20</v>
      </c>
      <c r="J234" t="s">
        <v>21</v>
      </c>
      <c r="K234">
        <v>18685</v>
      </c>
      <c r="L234" t="s">
        <v>22</v>
      </c>
      <c r="M234" s="8">
        <v>45303</v>
      </c>
      <c r="N234" t="str">
        <f>_xlfn.XLOOKUP(B234,Customer_Master!A:A,Customer_Master!C:C,"Not Found")</f>
        <v>Pune</v>
      </c>
      <c r="O234" t="str">
        <f>_xlfn.XLOOKUP(B234,Customer_Master!A:A,Customer_Master!D:D,"Not Found")</f>
        <v>Self-Employed</v>
      </c>
      <c r="P234" t="str">
        <f>_xlfn.XLOOKUP(B234,Customer_Master!A:A,Customer_Master!E:E,"Not Found")</f>
        <v>Medium</v>
      </c>
      <c r="Q234" t="str" cm="1">
        <f t="array" ref="Q234">_xlfn.IFS(H234&lt;600,"High Risk",H234&lt;=750,"Medium Risk",TRUE,"Low Risk")</f>
        <v>High Risk</v>
      </c>
    </row>
    <row r="235" spans="1:17" x14ac:dyDescent="0.3">
      <c r="A235" t="s">
        <v>398</v>
      </c>
      <c r="B235" t="s">
        <v>399</v>
      </c>
      <c r="C235">
        <v>52</v>
      </c>
      <c r="D235">
        <v>144455</v>
      </c>
      <c r="E235">
        <v>759552</v>
      </c>
      <c r="F235">
        <v>8.6</v>
      </c>
      <c r="G235">
        <v>24</v>
      </c>
      <c r="H235">
        <v>560</v>
      </c>
      <c r="I235" t="s">
        <v>15</v>
      </c>
      <c r="J235" t="s">
        <v>39</v>
      </c>
      <c r="K235">
        <v>34561</v>
      </c>
      <c r="L235" t="s">
        <v>17</v>
      </c>
      <c r="M235" s="8">
        <v>45362</v>
      </c>
      <c r="N235" t="str">
        <f>_xlfn.XLOOKUP(B235,Customer_Master!A:A,Customer_Master!C:C,"Not Found")</f>
        <v>Mumbai</v>
      </c>
      <c r="O235" t="str">
        <f>_xlfn.XLOOKUP(B235,Customer_Master!A:A,Customer_Master!D:D,"Not Found")</f>
        <v>Salaried</v>
      </c>
      <c r="P235" t="str">
        <f>_xlfn.XLOOKUP(B235,Customer_Master!A:A,Customer_Master!E:E,"Not Found")</f>
        <v>Medium</v>
      </c>
      <c r="Q235" t="str" cm="1">
        <f t="array" ref="Q235">_xlfn.IFS(H235&lt;600,"High Risk",H235&lt;=750,"Medium Risk",TRUE,"Low Risk")</f>
        <v>High Risk</v>
      </c>
    </row>
    <row r="236" spans="1:17" x14ac:dyDescent="0.3">
      <c r="A236" t="s">
        <v>400</v>
      </c>
      <c r="B236" t="s">
        <v>93</v>
      </c>
      <c r="C236">
        <v>23</v>
      </c>
      <c r="D236">
        <v>36394</v>
      </c>
      <c r="E236">
        <v>649379</v>
      </c>
      <c r="F236">
        <v>13.64</v>
      </c>
      <c r="G236">
        <v>60</v>
      </c>
      <c r="H236">
        <v>838</v>
      </c>
      <c r="I236" t="s">
        <v>31</v>
      </c>
      <c r="J236" t="s">
        <v>16</v>
      </c>
      <c r="K236">
        <v>14989</v>
      </c>
      <c r="L236" t="s">
        <v>17</v>
      </c>
      <c r="M236" s="8">
        <v>44967</v>
      </c>
      <c r="N236" t="str">
        <f>_xlfn.XLOOKUP(B236,Customer_Master!A:A,Customer_Master!C:C,"Not Found")</f>
        <v>Delhi</v>
      </c>
      <c r="O236" t="str">
        <f>_xlfn.XLOOKUP(B236,Customer_Master!A:A,Customer_Master!D:D,"Not Found")</f>
        <v>Self-Employed</v>
      </c>
      <c r="P236" t="str">
        <f>_xlfn.XLOOKUP(B236,Customer_Master!A:A,Customer_Master!E:E,"Not Found")</f>
        <v>Medium</v>
      </c>
      <c r="Q236" t="str" cm="1">
        <f t="array" ref="Q236">_xlfn.IFS(H236&lt;600,"High Risk",H236&lt;=750,"Medium Risk",TRUE,"Low Risk")</f>
        <v>Low Risk</v>
      </c>
    </row>
    <row r="237" spans="1:17" x14ac:dyDescent="0.3">
      <c r="A237" t="s">
        <v>401</v>
      </c>
      <c r="B237" t="s">
        <v>362</v>
      </c>
      <c r="C237">
        <v>42</v>
      </c>
      <c r="D237">
        <v>38192</v>
      </c>
      <c r="E237">
        <v>1399406</v>
      </c>
      <c r="F237">
        <v>12.88</v>
      </c>
      <c r="G237">
        <v>180</v>
      </c>
      <c r="H237">
        <v>732</v>
      </c>
      <c r="I237" t="s">
        <v>27</v>
      </c>
      <c r="J237" t="s">
        <v>21</v>
      </c>
      <c r="K237">
        <v>17596</v>
      </c>
      <c r="L237" t="s">
        <v>22</v>
      </c>
      <c r="M237" s="8">
        <v>44948</v>
      </c>
      <c r="N237" t="str">
        <f>_xlfn.XLOOKUP(B237,Customer_Master!A:A,Customer_Master!C:C,"Not Found")</f>
        <v>Delhi</v>
      </c>
      <c r="O237" t="str">
        <f>_xlfn.XLOOKUP(B237,Customer_Master!A:A,Customer_Master!D:D,"Not Found")</f>
        <v>Business Owner</v>
      </c>
      <c r="P237" t="str">
        <f>_xlfn.XLOOKUP(B237,Customer_Master!A:A,Customer_Master!E:E,"Not Found")</f>
        <v>Low</v>
      </c>
      <c r="Q237" t="str" cm="1">
        <f t="array" ref="Q237">_xlfn.IFS(H237&lt;600,"High Risk",H237&lt;=750,"Medium Risk",TRUE,"Low Risk")</f>
        <v>Medium Risk</v>
      </c>
    </row>
    <row r="238" spans="1:17" x14ac:dyDescent="0.3">
      <c r="A238" t="s">
        <v>402</v>
      </c>
      <c r="B238" t="s">
        <v>403</v>
      </c>
      <c r="C238">
        <v>54</v>
      </c>
      <c r="D238">
        <v>188087</v>
      </c>
      <c r="E238">
        <v>923749</v>
      </c>
      <c r="F238">
        <v>13.55</v>
      </c>
      <c r="G238">
        <v>12</v>
      </c>
      <c r="H238">
        <v>604</v>
      </c>
      <c r="I238" t="s">
        <v>27</v>
      </c>
      <c r="J238" t="s">
        <v>21</v>
      </c>
      <c r="K238">
        <v>82745</v>
      </c>
      <c r="L238" t="s">
        <v>22</v>
      </c>
      <c r="M238" s="8">
        <v>45275</v>
      </c>
      <c r="N238" t="str">
        <f>_xlfn.XLOOKUP(B238,Customer_Master!A:A,Customer_Master!C:C,"Not Found")</f>
        <v>Pune</v>
      </c>
      <c r="O238" t="str">
        <f>_xlfn.XLOOKUP(B238,Customer_Master!A:A,Customer_Master!D:D,"Not Found")</f>
        <v>Business Owner</v>
      </c>
      <c r="P238" t="str">
        <f>_xlfn.XLOOKUP(B238,Customer_Master!A:A,Customer_Master!E:E,"Not Found")</f>
        <v>High</v>
      </c>
      <c r="Q238" t="str" cm="1">
        <f t="array" ref="Q238">_xlfn.IFS(H238&lt;600,"High Risk",H238&lt;=750,"Medium Risk",TRUE,"Low Risk")</f>
        <v>Medium Risk</v>
      </c>
    </row>
    <row r="239" spans="1:17" x14ac:dyDescent="0.3">
      <c r="A239" t="s">
        <v>404</v>
      </c>
      <c r="B239" t="s">
        <v>405</v>
      </c>
      <c r="C239">
        <v>60</v>
      </c>
      <c r="D239">
        <v>162910</v>
      </c>
      <c r="E239">
        <v>1753701</v>
      </c>
      <c r="F239">
        <v>12.99</v>
      </c>
      <c r="G239">
        <v>36</v>
      </c>
      <c r="H239">
        <v>620</v>
      </c>
      <c r="I239" t="s">
        <v>31</v>
      </c>
      <c r="J239" t="s">
        <v>16</v>
      </c>
      <c r="K239">
        <v>59081</v>
      </c>
      <c r="L239" t="s">
        <v>22</v>
      </c>
      <c r="M239" s="8">
        <v>44860</v>
      </c>
      <c r="N239" t="str">
        <f>_xlfn.XLOOKUP(B239,Customer_Master!A:A,Customer_Master!C:C,"Not Found")</f>
        <v>Delhi</v>
      </c>
      <c r="O239" t="str">
        <f>_xlfn.XLOOKUP(B239,Customer_Master!A:A,Customer_Master!D:D,"Not Found")</f>
        <v>Self-Employed</v>
      </c>
      <c r="P239" t="str">
        <f>_xlfn.XLOOKUP(B239,Customer_Master!A:A,Customer_Master!E:E,"Not Found")</f>
        <v>Low</v>
      </c>
      <c r="Q239" t="str" cm="1">
        <f t="array" ref="Q239">_xlfn.IFS(H239&lt;600,"High Risk",H239&lt;=750,"Medium Risk",TRUE,"Low Risk")</f>
        <v>Medium Risk</v>
      </c>
    </row>
    <row r="240" spans="1:17" x14ac:dyDescent="0.3">
      <c r="A240" t="s">
        <v>406</v>
      </c>
      <c r="B240" t="s">
        <v>78</v>
      </c>
      <c r="C240">
        <v>29</v>
      </c>
      <c r="D240">
        <v>102008</v>
      </c>
      <c r="E240">
        <v>301404</v>
      </c>
      <c r="F240">
        <v>16.46</v>
      </c>
      <c r="G240">
        <v>24</v>
      </c>
      <c r="H240">
        <v>726</v>
      </c>
      <c r="I240" t="s">
        <v>31</v>
      </c>
      <c r="J240" t="s">
        <v>39</v>
      </c>
      <c r="K240">
        <v>14824</v>
      </c>
      <c r="L240" t="s">
        <v>22</v>
      </c>
      <c r="M240" s="8">
        <v>44841</v>
      </c>
      <c r="N240" t="str">
        <f>_xlfn.XLOOKUP(B240,Customer_Master!A:A,Customer_Master!C:C,"Not Found")</f>
        <v>Mumbai</v>
      </c>
      <c r="O240" t="str">
        <f>_xlfn.XLOOKUP(B240,Customer_Master!A:A,Customer_Master!D:D,"Not Found")</f>
        <v>Self-Employed</v>
      </c>
      <c r="P240" t="str">
        <f>_xlfn.XLOOKUP(B240,Customer_Master!A:A,Customer_Master!E:E,"Not Found")</f>
        <v>High</v>
      </c>
      <c r="Q240" t="str" cm="1">
        <f t="array" ref="Q240">_xlfn.IFS(H240&lt;600,"High Risk",H240&lt;=750,"Medium Risk",TRUE,"Low Risk")</f>
        <v>Medium Risk</v>
      </c>
    </row>
    <row r="241" spans="1:17" x14ac:dyDescent="0.3">
      <c r="A241" t="s">
        <v>407</v>
      </c>
      <c r="B241" t="s">
        <v>408</v>
      </c>
      <c r="C241">
        <v>29</v>
      </c>
      <c r="D241">
        <v>135977</v>
      </c>
      <c r="E241">
        <v>1557632</v>
      </c>
      <c r="F241">
        <v>10.46</v>
      </c>
      <c r="G241">
        <v>60</v>
      </c>
      <c r="H241">
        <v>550</v>
      </c>
      <c r="I241" t="s">
        <v>15</v>
      </c>
      <c r="J241" t="s">
        <v>39</v>
      </c>
      <c r="K241">
        <v>33449</v>
      </c>
      <c r="L241" t="s">
        <v>22</v>
      </c>
      <c r="M241" s="8">
        <v>45455</v>
      </c>
      <c r="N241" t="str">
        <f>_xlfn.XLOOKUP(B241,Customer_Master!A:A,Customer_Master!C:C,"Not Found")</f>
        <v>Mumbai</v>
      </c>
      <c r="O241" t="str">
        <f>_xlfn.XLOOKUP(B241,Customer_Master!A:A,Customer_Master!D:D,"Not Found")</f>
        <v>Salaried</v>
      </c>
      <c r="P241" t="str">
        <f>_xlfn.XLOOKUP(B241,Customer_Master!A:A,Customer_Master!E:E,"Not Found")</f>
        <v>Low</v>
      </c>
      <c r="Q241" t="str" cm="1">
        <f t="array" ref="Q241">_xlfn.IFS(H241&lt;600,"High Risk",H241&lt;=750,"Medium Risk",TRUE,"Low Risk")</f>
        <v>High Risk</v>
      </c>
    </row>
    <row r="242" spans="1:17" x14ac:dyDescent="0.3">
      <c r="A242" t="s">
        <v>409</v>
      </c>
      <c r="B242" t="s">
        <v>207</v>
      </c>
      <c r="C242">
        <v>54</v>
      </c>
      <c r="D242">
        <v>84478</v>
      </c>
      <c r="E242">
        <v>372265</v>
      </c>
      <c r="F242">
        <v>14.41</v>
      </c>
      <c r="G242">
        <v>60</v>
      </c>
      <c r="H242">
        <v>846</v>
      </c>
      <c r="I242" t="s">
        <v>31</v>
      </c>
      <c r="J242" t="s">
        <v>39</v>
      </c>
      <c r="K242">
        <v>8741</v>
      </c>
      <c r="L242" t="s">
        <v>17</v>
      </c>
      <c r="M242" s="8">
        <v>44731</v>
      </c>
      <c r="N242" t="str">
        <f>_xlfn.XLOOKUP(B242,Customer_Master!A:A,Customer_Master!C:C,"Not Found")</f>
        <v>Mumbai</v>
      </c>
      <c r="O242" t="str">
        <f>_xlfn.XLOOKUP(B242,Customer_Master!A:A,Customer_Master!D:D,"Not Found")</f>
        <v>Salaried</v>
      </c>
      <c r="P242" t="str">
        <f>_xlfn.XLOOKUP(B242,Customer_Master!A:A,Customer_Master!E:E,"Not Found")</f>
        <v>Low</v>
      </c>
      <c r="Q242" t="str" cm="1">
        <f t="array" ref="Q242">_xlfn.IFS(H242&lt;600,"High Risk",H242&lt;=750,"Medium Risk",TRUE,"Low Risk")</f>
        <v>Low Risk</v>
      </c>
    </row>
    <row r="243" spans="1:17" x14ac:dyDescent="0.3">
      <c r="A243" t="s">
        <v>410</v>
      </c>
      <c r="B243" t="s">
        <v>59</v>
      </c>
      <c r="C243">
        <v>48</v>
      </c>
      <c r="D243">
        <v>183902</v>
      </c>
      <c r="E243">
        <v>126940</v>
      </c>
      <c r="F243">
        <v>10.85</v>
      </c>
      <c r="G243">
        <v>240</v>
      </c>
      <c r="H243">
        <v>698</v>
      </c>
      <c r="I243" t="s">
        <v>15</v>
      </c>
      <c r="J243" t="s">
        <v>28</v>
      </c>
      <c r="K243">
        <v>1297</v>
      </c>
      <c r="L243" t="s">
        <v>22</v>
      </c>
      <c r="M243" s="8">
        <v>45267</v>
      </c>
      <c r="N243" t="str">
        <f>_xlfn.XLOOKUP(B243,Customer_Master!A:A,Customer_Master!C:C,"Not Found")</f>
        <v>Pune</v>
      </c>
      <c r="O243" t="str">
        <f>_xlfn.XLOOKUP(B243,Customer_Master!A:A,Customer_Master!D:D,"Not Found")</f>
        <v>Self-Employed</v>
      </c>
      <c r="P243" t="str">
        <f>_xlfn.XLOOKUP(B243,Customer_Master!A:A,Customer_Master!E:E,"Not Found")</f>
        <v>Low</v>
      </c>
      <c r="Q243" t="str" cm="1">
        <f t="array" ref="Q243">_xlfn.IFS(H243&lt;600,"High Risk",H243&lt;=750,"Medium Risk",TRUE,"Low Risk")</f>
        <v>Medium Risk</v>
      </c>
    </row>
    <row r="244" spans="1:17" x14ac:dyDescent="0.3">
      <c r="A244" t="s">
        <v>411</v>
      </c>
      <c r="B244" t="s">
        <v>412</v>
      </c>
      <c r="C244">
        <v>31</v>
      </c>
      <c r="D244">
        <v>68541</v>
      </c>
      <c r="E244">
        <v>252750</v>
      </c>
      <c r="F244">
        <v>11.95</v>
      </c>
      <c r="G244">
        <v>12</v>
      </c>
      <c r="H244">
        <v>653</v>
      </c>
      <c r="I244" t="s">
        <v>27</v>
      </c>
      <c r="J244" t="s">
        <v>39</v>
      </c>
      <c r="K244">
        <v>22451</v>
      </c>
      <c r="L244" t="s">
        <v>22</v>
      </c>
      <c r="M244" s="8">
        <v>44910</v>
      </c>
      <c r="N244" t="str">
        <f>_xlfn.XLOOKUP(B244,Customer_Master!A:A,Customer_Master!C:C,"Not Found")</f>
        <v>Hyderabad</v>
      </c>
      <c r="O244" t="str">
        <f>_xlfn.XLOOKUP(B244,Customer_Master!A:A,Customer_Master!D:D,"Not Found")</f>
        <v>Business Owner</v>
      </c>
      <c r="P244" t="str">
        <f>_xlfn.XLOOKUP(B244,Customer_Master!A:A,Customer_Master!E:E,"Not Found")</f>
        <v>High</v>
      </c>
      <c r="Q244" t="str" cm="1">
        <f t="array" ref="Q244">_xlfn.IFS(H244&lt;600,"High Risk",H244&lt;=750,"Medium Risk",TRUE,"Low Risk")</f>
        <v>Medium Risk</v>
      </c>
    </row>
    <row r="245" spans="1:17" x14ac:dyDescent="0.3">
      <c r="A245" t="s">
        <v>413</v>
      </c>
      <c r="B245" t="s">
        <v>67</v>
      </c>
      <c r="C245">
        <v>26</v>
      </c>
      <c r="D245">
        <v>171248</v>
      </c>
      <c r="E245">
        <v>218058</v>
      </c>
      <c r="F245">
        <v>12.54</v>
      </c>
      <c r="G245">
        <v>180</v>
      </c>
      <c r="H245">
        <v>589</v>
      </c>
      <c r="I245" t="s">
        <v>31</v>
      </c>
      <c r="J245" t="s">
        <v>39</v>
      </c>
      <c r="K245">
        <v>2693</v>
      </c>
      <c r="L245" t="s">
        <v>22</v>
      </c>
      <c r="M245" s="8">
        <v>44703</v>
      </c>
      <c r="N245" t="str">
        <f>_xlfn.XLOOKUP(B245,Customer_Master!A:A,Customer_Master!C:C,"Not Found")</f>
        <v>Hyderabad</v>
      </c>
      <c r="O245" t="str">
        <f>_xlfn.XLOOKUP(B245,Customer_Master!A:A,Customer_Master!D:D,"Not Found")</f>
        <v>Business Owner</v>
      </c>
      <c r="P245" t="str">
        <f>_xlfn.XLOOKUP(B245,Customer_Master!A:A,Customer_Master!E:E,"Not Found")</f>
        <v>High</v>
      </c>
      <c r="Q245" t="str" cm="1">
        <f t="array" ref="Q245">_xlfn.IFS(H245&lt;600,"High Risk",H245&lt;=750,"Medium Risk",TRUE,"Low Risk")</f>
        <v>High Risk</v>
      </c>
    </row>
    <row r="246" spans="1:17" x14ac:dyDescent="0.3">
      <c r="A246" t="s">
        <v>414</v>
      </c>
      <c r="B246" t="s">
        <v>53</v>
      </c>
      <c r="C246">
        <v>30</v>
      </c>
      <c r="D246">
        <v>191489</v>
      </c>
      <c r="E246">
        <v>1340311</v>
      </c>
      <c r="F246">
        <v>7.95</v>
      </c>
      <c r="G246">
        <v>120</v>
      </c>
      <c r="H246">
        <v>734</v>
      </c>
      <c r="I246" t="s">
        <v>15</v>
      </c>
      <c r="J246" t="s">
        <v>28</v>
      </c>
      <c r="K246">
        <v>16226</v>
      </c>
      <c r="L246" t="s">
        <v>22</v>
      </c>
      <c r="M246" s="8">
        <v>44818</v>
      </c>
      <c r="N246" t="str">
        <f>_xlfn.XLOOKUP(B246,Customer_Master!A:A,Customer_Master!C:C,"Not Found")</f>
        <v>Bangalore</v>
      </c>
      <c r="O246" t="str">
        <f>_xlfn.XLOOKUP(B246,Customer_Master!A:A,Customer_Master!D:D,"Not Found")</f>
        <v>Salaried</v>
      </c>
      <c r="P246" t="str">
        <f>_xlfn.XLOOKUP(B246,Customer_Master!A:A,Customer_Master!E:E,"Not Found")</f>
        <v>Medium</v>
      </c>
      <c r="Q246" t="str" cm="1">
        <f t="array" ref="Q246">_xlfn.IFS(H246&lt;600,"High Risk",H246&lt;=750,"Medium Risk",TRUE,"Low Risk")</f>
        <v>Medium Risk</v>
      </c>
    </row>
    <row r="247" spans="1:17" x14ac:dyDescent="0.3">
      <c r="A247" t="s">
        <v>415</v>
      </c>
      <c r="B247" t="s">
        <v>416</v>
      </c>
      <c r="C247">
        <v>24</v>
      </c>
      <c r="D247">
        <v>195071</v>
      </c>
      <c r="E247">
        <v>500828</v>
      </c>
      <c r="F247">
        <v>8.75</v>
      </c>
      <c r="G247">
        <v>180</v>
      </c>
      <c r="H247">
        <v>489</v>
      </c>
      <c r="I247" t="s">
        <v>20</v>
      </c>
      <c r="J247" t="s">
        <v>21</v>
      </c>
      <c r="K247">
        <v>5006</v>
      </c>
      <c r="L247" t="s">
        <v>34</v>
      </c>
      <c r="M247" s="8">
        <v>45179</v>
      </c>
      <c r="N247" t="str">
        <f>_xlfn.XLOOKUP(B247,Customer_Master!A:A,Customer_Master!C:C,"Not Found")</f>
        <v>Bangalore</v>
      </c>
      <c r="O247" t="str">
        <f>_xlfn.XLOOKUP(B247,Customer_Master!A:A,Customer_Master!D:D,"Not Found")</f>
        <v>Business Owner</v>
      </c>
      <c r="P247" t="str">
        <f>_xlfn.XLOOKUP(B247,Customer_Master!A:A,Customer_Master!E:E,"Not Found")</f>
        <v>Low</v>
      </c>
      <c r="Q247" t="str" cm="1">
        <f t="array" ref="Q247">_xlfn.IFS(H247&lt;600,"High Risk",H247&lt;=750,"Medium Risk",TRUE,"Low Risk")</f>
        <v>High Risk</v>
      </c>
    </row>
    <row r="248" spans="1:17" x14ac:dyDescent="0.3">
      <c r="A248" t="s">
        <v>417</v>
      </c>
      <c r="B248" t="s">
        <v>165</v>
      </c>
      <c r="C248">
        <v>25</v>
      </c>
      <c r="D248">
        <v>70047</v>
      </c>
      <c r="E248">
        <v>357479</v>
      </c>
      <c r="F248">
        <v>15.47</v>
      </c>
      <c r="G248">
        <v>24</v>
      </c>
      <c r="H248">
        <v>654</v>
      </c>
      <c r="I248" t="s">
        <v>20</v>
      </c>
      <c r="J248" t="s">
        <v>39</v>
      </c>
      <c r="K248">
        <v>17413</v>
      </c>
      <c r="L248" t="s">
        <v>17</v>
      </c>
      <c r="M248" s="8">
        <v>44990</v>
      </c>
      <c r="N248" t="str">
        <f>_xlfn.XLOOKUP(B248,Customer_Master!A:A,Customer_Master!C:C,"Not Found")</f>
        <v>Hyderabad</v>
      </c>
      <c r="O248" t="str">
        <f>_xlfn.XLOOKUP(B248,Customer_Master!A:A,Customer_Master!D:D,"Not Found")</f>
        <v>Self-Employed</v>
      </c>
      <c r="P248" t="str">
        <f>_xlfn.XLOOKUP(B248,Customer_Master!A:A,Customer_Master!E:E,"Not Found")</f>
        <v>Low</v>
      </c>
      <c r="Q248" t="str" cm="1">
        <f t="array" ref="Q248">_xlfn.IFS(H248&lt;600,"High Risk",H248&lt;=750,"Medium Risk",TRUE,"Low Risk")</f>
        <v>Medium Risk</v>
      </c>
    </row>
    <row r="249" spans="1:17" x14ac:dyDescent="0.3">
      <c r="A249" t="s">
        <v>418</v>
      </c>
      <c r="B249" t="s">
        <v>154</v>
      </c>
      <c r="C249">
        <v>42</v>
      </c>
      <c r="D249">
        <v>30563</v>
      </c>
      <c r="E249">
        <v>1596695</v>
      </c>
      <c r="F249">
        <v>10.81</v>
      </c>
      <c r="G249">
        <v>120</v>
      </c>
      <c r="H249">
        <v>754</v>
      </c>
      <c r="I249" t="s">
        <v>15</v>
      </c>
      <c r="J249" t="s">
        <v>21</v>
      </c>
      <c r="K249">
        <v>21823</v>
      </c>
      <c r="L249" t="s">
        <v>22</v>
      </c>
      <c r="M249" s="8">
        <v>44596</v>
      </c>
      <c r="N249" t="str">
        <f>_xlfn.XLOOKUP(B249,Customer_Master!A:A,Customer_Master!C:C,"Not Found")</f>
        <v>Pune</v>
      </c>
      <c r="O249" t="str">
        <f>_xlfn.XLOOKUP(B249,Customer_Master!A:A,Customer_Master!D:D,"Not Found")</f>
        <v>Self-Employed</v>
      </c>
      <c r="P249" t="str">
        <f>_xlfn.XLOOKUP(B249,Customer_Master!A:A,Customer_Master!E:E,"Not Found")</f>
        <v>Medium</v>
      </c>
      <c r="Q249" t="str" cm="1">
        <f t="array" ref="Q249">_xlfn.IFS(H249&lt;600,"High Risk",H249&lt;=750,"Medium Risk",TRUE,"Low Risk")</f>
        <v>Low Risk</v>
      </c>
    </row>
    <row r="250" spans="1:17" x14ac:dyDescent="0.3">
      <c r="A250" t="s">
        <v>419</v>
      </c>
      <c r="B250" t="s">
        <v>33</v>
      </c>
      <c r="C250">
        <v>49</v>
      </c>
      <c r="D250">
        <v>70073</v>
      </c>
      <c r="E250">
        <v>1841949</v>
      </c>
      <c r="F250">
        <v>15.54</v>
      </c>
      <c r="G250">
        <v>24</v>
      </c>
      <c r="H250">
        <v>615</v>
      </c>
      <c r="I250" t="s">
        <v>20</v>
      </c>
      <c r="J250" t="s">
        <v>16</v>
      </c>
      <c r="K250">
        <v>89783</v>
      </c>
      <c r="L250" t="s">
        <v>17</v>
      </c>
      <c r="M250" s="8">
        <v>44673</v>
      </c>
      <c r="N250" t="str">
        <f>_xlfn.XLOOKUP(B250,Customer_Master!A:A,Customer_Master!C:C,"Not Found")</f>
        <v>Bangalore</v>
      </c>
      <c r="O250" t="str">
        <f>_xlfn.XLOOKUP(B250,Customer_Master!A:A,Customer_Master!D:D,"Not Found")</f>
        <v>Salaried</v>
      </c>
      <c r="P250" t="str">
        <f>_xlfn.XLOOKUP(B250,Customer_Master!A:A,Customer_Master!E:E,"Not Found")</f>
        <v>Medium</v>
      </c>
      <c r="Q250" t="str" cm="1">
        <f t="array" ref="Q250">_xlfn.IFS(H250&lt;600,"High Risk",H250&lt;=750,"Medium Risk",TRUE,"Low Risk")</f>
        <v>Medium Risk</v>
      </c>
    </row>
    <row r="251" spans="1:17" x14ac:dyDescent="0.3">
      <c r="A251" t="s">
        <v>420</v>
      </c>
      <c r="B251" t="s">
        <v>252</v>
      </c>
      <c r="C251">
        <v>27</v>
      </c>
      <c r="D251">
        <v>151674</v>
      </c>
      <c r="E251">
        <v>961589</v>
      </c>
      <c r="F251">
        <v>10.01</v>
      </c>
      <c r="G251">
        <v>24</v>
      </c>
      <c r="H251">
        <v>644</v>
      </c>
      <c r="I251" t="s">
        <v>27</v>
      </c>
      <c r="J251" t="s">
        <v>28</v>
      </c>
      <c r="K251">
        <v>44377</v>
      </c>
      <c r="L251" t="s">
        <v>22</v>
      </c>
      <c r="M251" s="8">
        <v>44625</v>
      </c>
      <c r="N251" t="str">
        <f>_xlfn.XLOOKUP(B251,Customer_Master!A:A,Customer_Master!C:C,"Not Found")</f>
        <v>Mumbai</v>
      </c>
      <c r="O251" t="str">
        <f>_xlfn.XLOOKUP(B251,Customer_Master!A:A,Customer_Master!D:D,"Not Found")</f>
        <v>Self-Employed</v>
      </c>
      <c r="P251" t="str">
        <f>_xlfn.XLOOKUP(B251,Customer_Master!A:A,Customer_Master!E:E,"Not Found")</f>
        <v>Low</v>
      </c>
      <c r="Q251" t="str" cm="1">
        <f t="array" ref="Q251">_xlfn.IFS(H251&lt;600,"High Risk",H251&lt;=750,"Medium Risk",TRUE,"Low Risk")</f>
        <v>Medium Risk</v>
      </c>
    </row>
    <row r="252" spans="1:17" x14ac:dyDescent="0.3">
      <c r="A252" t="s">
        <v>421</v>
      </c>
      <c r="B252" t="s">
        <v>422</v>
      </c>
      <c r="C252">
        <v>31</v>
      </c>
      <c r="D252">
        <v>101990</v>
      </c>
      <c r="E252">
        <v>1072905</v>
      </c>
      <c r="F252">
        <v>13.05</v>
      </c>
      <c r="G252">
        <v>24</v>
      </c>
      <c r="H252">
        <v>708</v>
      </c>
      <c r="I252" t="s">
        <v>31</v>
      </c>
      <c r="J252" t="s">
        <v>16</v>
      </c>
      <c r="K252">
        <v>51033</v>
      </c>
      <c r="L252" t="s">
        <v>22</v>
      </c>
      <c r="M252" s="8">
        <v>44753</v>
      </c>
      <c r="N252" t="str">
        <f>_xlfn.XLOOKUP(B252,Customer_Master!A:A,Customer_Master!C:C,"Not Found")</f>
        <v>Delhi</v>
      </c>
      <c r="O252" t="str">
        <f>_xlfn.XLOOKUP(B252,Customer_Master!A:A,Customer_Master!D:D,"Not Found")</f>
        <v>Salaried</v>
      </c>
      <c r="P252" t="str">
        <f>_xlfn.XLOOKUP(B252,Customer_Master!A:A,Customer_Master!E:E,"Not Found")</f>
        <v>High</v>
      </c>
      <c r="Q252" t="str" cm="1">
        <f t="array" ref="Q252">_xlfn.IFS(H252&lt;600,"High Risk",H252&lt;=750,"Medium Risk",TRUE,"Low Risk")</f>
        <v>Medium Risk</v>
      </c>
    </row>
    <row r="253" spans="1:17" x14ac:dyDescent="0.3">
      <c r="A253" t="s">
        <v>423</v>
      </c>
      <c r="B253" t="s">
        <v>424</v>
      </c>
      <c r="C253">
        <v>32</v>
      </c>
      <c r="D253">
        <v>136989</v>
      </c>
      <c r="E253">
        <v>848825</v>
      </c>
      <c r="F253">
        <v>7.67</v>
      </c>
      <c r="G253">
        <v>24</v>
      </c>
      <c r="H253">
        <v>605</v>
      </c>
      <c r="I253" t="s">
        <v>20</v>
      </c>
      <c r="J253" t="s">
        <v>28</v>
      </c>
      <c r="K253">
        <v>38262</v>
      </c>
      <c r="L253" t="s">
        <v>22</v>
      </c>
      <c r="M253" s="8">
        <v>44895</v>
      </c>
      <c r="N253" t="str">
        <f>_xlfn.XLOOKUP(B253,Customer_Master!A:A,Customer_Master!C:C,"Not Found")</f>
        <v>Pune</v>
      </c>
      <c r="O253" t="str">
        <f>_xlfn.XLOOKUP(B253,Customer_Master!A:A,Customer_Master!D:D,"Not Found")</f>
        <v>Salaried</v>
      </c>
      <c r="P253" t="str">
        <f>_xlfn.XLOOKUP(B253,Customer_Master!A:A,Customer_Master!E:E,"Not Found")</f>
        <v>High</v>
      </c>
      <c r="Q253" t="str" cm="1">
        <f t="array" ref="Q253">_xlfn.IFS(H253&lt;600,"High Risk",H253&lt;=750,"Medium Risk",TRUE,"Low Risk")</f>
        <v>Medium Risk</v>
      </c>
    </row>
    <row r="254" spans="1:17" x14ac:dyDescent="0.3">
      <c r="A254" t="s">
        <v>425</v>
      </c>
      <c r="B254" t="s">
        <v>362</v>
      </c>
      <c r="C254">
        <v>28</v>
      </c>
      <c r="D254">
        <v>105089</v>
      </c>
      <c r="E254">
        <v>133838</v>
      </c>
      <c r="F254">
        <v>15.65</v>
      </c>
      <c r="G254">
        <v>120</v>
      </c>
      <c r="H254">
        <v>615</v>
      </c>
      <c r="I254" t="s">
        <v>27</v>
      </c>
      <c r="J254" t="s">
        <v>21</v>
      </c>
      <c r="K254">
        <v>2213</v>
      </c>
      <c r="L254" t="s">
        <v>22</v>
      </c>
      <c r="M254" s="8">
        <v>44861</v>
      </c>
      <c r="N254" t="str">
        <f>_xlfn.XLOOKUP(B254,Customer_Master!A:A,Customer_Master!C:C,"Not Found")</f>
        <v>Delhi</v>
      </c>
      <c r="O254" t="str">
        <f>_xlfn.XLOOKUP(B254,Customer_Master!A:A,Customer_Master!D:D,"Not Found")</f>
        <v>Business Owner</v>
      </c>
      <c r="P254" t="str">
        <f>_xlfn.XLOOKUP(B254,Customer_Master!A:A,Customer_Master!E:E,"Not Found")</f>
        <v>Low</v>
      </c>
      <c r="Q254" t="str" cm="1">
        <f t="array" ref="Q254">_xlfn.IFS(H254&lt;600,"High Risk",H254&lt;=750,"Medium Risk",TRUE,"Low Risk")</f>
        <v>Medium Risk</v>
      </c>
    </row>
    <row r="255" spans="1:17" x14ac:dyDescent="0.3">
      <c r="A255" t="s">
        <v>426</v>
      </c>
      <c r="B255" t="s">
        <v>178</v>
      </c>
      <c r="C255">
        <v>32</v>
      </c>
      <c r="D255">
        <v>152053</v>
      </c>
      <c r="E255">
        <v>851012</v>
      </c>
      <c r="F255">
        <v>10.38</v>
      </c>
      <c r="G255">
        <v>180</v>
      </c>
      <c r="H255">
        <v>581</v>
      </c>
      <c r="I255" t="s">
        <v>31</v>
      </c>
      <c r="J255" t="s">
        <v>39</v>
      </c>
      <c r="K255">
        <v>9344</v>
      </c>
      <c r="L255" t="s">
        <v>22</v>
      </c>
      <c r="M255" s="8">
        <v>44701</v>
      </c>
      <c r="N255" t="str">
        <f>_xlfn.XLOOKUP(B255,Customer_Master!A:A,Customer_Master!C:C,"Not Found")</f>
        <v>Delhi</v>
      </c>
      <c r="O255" t="str">
        <f>_xlfn.XLOOKUP(B255,Customer_Master!A:A,Customer_Master!D:D,"Not Found")</f>
        <v>Business Owner</v>
      </c>
      <c r="P255" t="str">
        <f>_xlfn.XLOOKUP(B255,Customer_Master!A:A,Customer_Master!E:E,"Not Found")</f>
        <v>Low</v>
      </c>
      <c r="Q255" t="str" cm="1">
        <f t="array" ref="Q255">_xlfn.IFS(H255&lt;600,"High Risk",H255&lt;=750,"Medium Risk",TRUE,"Low Risk")</f>
        <v>High Risk</v>
      </c>
    </row>
    <row r="256" spans="1:17" x14ac:dyDescent="0.3">
      <c r="A256" t="s">
        <v>427</v>
      </c>
      <c r="B256" t="s">
        <v>95</v>
      </c>
      <c r="C256">
        <v>52</v>
      </c>
      <c r="D256">
        <v>181960</v>
      </c>
      <c r="E256">
        <v>661173</v>
      </c>
      <c r="F256">
        <v>11.82</v>
      </c>
      <c r="G256">
        <v>48</v>
      </c>
      <c r="H256">
        <v>528</v>
      </c>
      <c r="I256" t="s">
        <v>31</v>
      </c>
      <c r="J256" t="s">
        <v>28</v>
      </c>
      <c r="K256">
        <v>17353</v>
      </c>
      <c r="L256" t="s">
        <v>17</v>
      </c>
      <c r="M256" s="8">
        <v>45082</v>
      </c>
      <c r="N256" t="str">
        <f>_xlfn.XLOOKUP(B256,Customer_Master!A:A,Customer_Master!C:C,"Not Found")</f>
        <v>Mumbai</v>
      </c>
      <c r="O256" t="str">
        <f>_xlfn.XLOOKUP(B256,Customer_Master!A:A,Customer_Master!D:D,"Not Found")</f>
        <v>Business Owner</v>
      </c>
      <c r="P256" t="str">
        <f>_xlfn.XLOOKUP(B256,Customer_Master!A:A,Customer_Master!E:E,"Not Found")</f>
        <v>Low</v>
      </c>
      <c r="Q256" t="str" cm="1">
        <f t="array" ref="Q256">_xlfn.IFS(H256&lt;600,"High Risk",H256&lt;=750,"Medium Risk",TRUE,"Low Risk")</f>
        <v>High Risk</v>
      </c>
    </row>
    <row r="257" spans="1:17" x14ac:dyDescent="0.3">
      <c r="A257" t="s">
        <v>428</v>
      </c>
      <c r="B257" t="s">
        <v>165</v>
      </c>
      <c r="C257">
        <v>38</v>
      </c>
      <c r="D257">
        <v>115911</v>
      </c>
      <c r="E257">
        <v>338584</v>
      </c>
      <c r="F257">
        <v>8.4600000000000009</v>
      </c>
      <c r="G257">
        <v>12</v>
      </c>
      <c r="H257">
        <v>707</v>
      </c>
      <c r="I257" t="s">
        <v>31</v>
      </c>
      <c r="J257" t="s">
        <v>28</v>
      </c>
      <c r="K257">
        <v>29525</v>
      </c>
      <c r="L257" t="s">
        <v>22</v>
      </c>
      <c r="M257" s="8">
        <v>45045</v>
      </c>
      <c r="N257" t="str">
        <f>_xlfn.XLOOKUP(B257,Customer_Master!A:A,Customer_Master!C:C,"Not Found")</f>
        <v>Hyderabad</v>
      </c>
      <c r="O257" t="str">
        <f>_xlfn.XLOOKUP(B257,Customer_Master!A:A,Customer_Master!D:D,"Not Found")</f>
        <v>Self-Employed</v>
      </c>
      <c r="P257" t="str">
        <f>_xlfn.XLOOKUP(B257,Customer_Master!A:A,Customer_Master!E:E,"Not Found")</f>
        <v>Low</v>
      </c>
      <c r="Q257" t="str" cm="1">
        <f t="array" ref="Q257">_xlfn.IFS(H257&lt;600,"High Risk",H257&lt;=750,"Medium Risk",TRUE,"Low Risk")</f>
        <v>Medium Risk</v>
      </c>
    </row>
    <row r="258" spans="1:17" x14ac:dyDescent="0.3">
      <c r="A258" t="s">
        <v>429</v>
      </c>
      <c r="B258" t="s">
        <v>430</v>
      </c>
      <c r="C258">
        <v>35</v>
      </c>
      <c r="D258">
        <v>158624</v>
      </c>
      <c r="E258">
        <v>1735496</v>
      </c>
      <c r="F258">
        <v>16.28</v>
      </c>
      <c r="G258">
        <v>24</v>
      </c>
      <c r="H258">
        <v>624</v>
      </c>
      <c r="I258" t="s">
        <v>27</v>
      </c>
      <c r="J258" t="s">
        <v>16</v>
      </c>
      <c r="K258">
        <v>85208</v>
      </c>
      <c r="L258" t="s">
        <v>17</v>
      </c>
      <c r="M258" s="8">
        <v>44672</v>
      </c>
      <c r="N258" t="str">
        <f>_xlfn.XLOOKUP(B258,Customer_Master!A:A,Customer_Master!C:C,"Not Found")</f>
        <v>Delhi</v>
      </c>
      <c r="O258" t="str">
        <f>_xlfn.XLOOKUP(B258,Customer_Master!A:A,Customer_Master!D:D,"Not Found")</f>
        <v>Self-Employed</v>
      </c>
      <c r="P258" t="str">
        <f>_xlfn.XLOOKUP(B258,Customer_Master!A:A,Customer_Master!E:E,"Not Found")</f>
        <v>High</v>
      </c>
      <c r="Q258" t="str" cm="1">
        <f t="array" ref="Q258">_xlfn.IFS(H258&lt;600,"High Risk",H258&lt;=750,"Medium Risk",TRUE,"Low Risk")</f>
        <v>Medium Risk</v>
      </c>
    </row>
    <row r="259" spans="1:17" x14ac:dyDescent="0.3">
      <c r="A259" t="s">
        <v>431</v>
      </c>
      <c r="B259" t="s">
        <v>131</v>
      </c>
      <c r="C259">
        <v>29</v>
      </c>
      <c r="D259">
        <v>109388</v>
      </c>
      <c r="E259">
        <v>1669164</v>
      </c>
      <c r="F259">
        <v>8.8699999999999992</v>
      </c>
      <c r="G259">
        <v>60</v>
      </c>
      <c r="H259">
        <v>507</v>
      </c>
      <c r="I259" t="s">
        <v>15</v>
      </c>
      <c r="J259" t="s">
        <v>21</v>
      </c>
      <c r="K259">
        <v>34544</v>
      </c>
      <c r="L259" t="s">
        <v>22</v>
      </c>
      <c r="M259" s="8">
        <v>44946</v>
      </c>
      <c r="N259" t="str">
        <f>_xlfn.XLOOKUP(B259,Customer_Master!A:A,Customer_Master!C:C,"Not Found")</f>
        <v>Pune</v>
      </c>
      <c r="O259" t="str">
        <f>_xlfn.XLOOKUP(B259,Customer_Master!A:A,Customer_Master!D:D,"Not Found")</f>
        <v>Self-Employed</v>
      </c>
      <c r="P259" t="str">
        <f>_xlfn.XLOOKUP(B259,Customer_Master!A:A,Customer_Master!E:E,"Not Found")</f>
        <v>Medium</v>
      </c>
      <c r="Q259" t="str" cm="1">
        <f t="array" ref="Q259">_xlfn.IFS(H259&lt;600,"High Risk",H259&lt;=750,"Medium Risk",TRUE,"Low Risk")</f>
        <v>High Risk</v>
      </c>
    </row>
    <row r="260" spans="1:17" x14ac:dyDescent="0.3">
      <c r="A260" t="s">
        <v>432</v>
      </c>
      <c r="B260" t="s">
        <v>317</v>
      </c>
      <c r="C260">
        <v>44</v>
      </c>
      <c r="D260">
        <v>157566</v>
      </c>
      <c r="E260">
        <v>180435</v>
      </c>
      <c r="F260">
        <v>9.23</v>
      </c>
      <c r="G260">
        <v>36</v>
      </c>
      <c r="H260">
        <v>734</v>
      </c>
      <c r="I260" t="s">
        <v>27</v>
      </c>
      <c r="J260" t="s">
        <v>16</v>
      </c>
      <c r="K260">
        <v>5757</v>
      </c>
      <c r="L260" t="s">
        <v>22</v>
      </c>
      <c r="M260" s="8">
        <v>45370</v>
      </c>
      <c r="N260" t="str">
        <f>_xlfn.XLOOKUP(B260,Customer_Master!A:A,Customer_Master!C:C,"Not Found")</f>
        <v>Chennai</v>
      </c>
      <c r="O260" t="str">
        <f>_xlfn.XLOOKUP(B260,Customer_Master!A:A,Customer_Master!D:D,"Not Found")</f>
        <v>Salaried</v>
      </c>
      <c r="P260" t="str">
        <f>_xlfn.XLOOKUP(B260,Customer_Master!A:A,Customer_Master!E:E,"Not Found")</f>
        <v>Low</v>
      </c>
      <c r="Q260" t="str" cm="1">
        <f t="array" ref="Q260">_xlfn.IFS(H260&lt;600,"High Risk",H260&lt;=750,"Medium Risk",TRUE,"Low Risk")</f>
        <v>Medium Risk</v>
      </c>
    </row>
    <row r="261" spans="1:17" x14ac:dyDescent="0.3">
      <c r="A261" t="s">
        <v>433</v>
      </c>
      <c r="B261" t="s">
        <v>434</v>
      </c>
      <c r="C261">
        <v>32</v>
      </c>
      <c r="D261">
        <v>26458</v>
      </c>
      <c r="E261">
        <v>416277</v>
      </c>
      <c r="F261">
        <v>12.46</v>
      </c>
      <c r="G261">
        <v>120</v>
      </c>
      <c r="H261">
        <v>473</v>
      </c>
      <c r="I261" t="s">
        <v>31</v>
      </c>
      <c r="J261" t="s">
        <v>21</v>
      </c>
      <c r="K261">
        <v>6084</v>
      </c>
      <c r="L261" t="s">
        <v>22</v>
      </c>
      <c r="M261" s="8">
        <v>44771</v>
      </c>
      <c r="N261" t="str">
        <f>_xlfn.XLOOKUP(B261,Customer_Master!A:A,Customer_Master!C:C,"Not Found")</f>
        <v>Hyderabad</v>
      </c>
      <c r="O261" t="str">
        <f>_xlfn.XLOOKUP(B261,Customer_Master!A:A,Customer_Master!D:D,"Not Found")</f>
        <v>Business Owner</v>
      </c>
      <c r="P261" t="str">
        <f>_xlfn.XLOOKUP(B261,Customer_Master!A:A,Customer_Master!E:E,"Not Found")</f>
        <v>High</v>
      </c>
      <c r="Q261" t="str" cm="1">
        <f t="array" ref="Q261">_xlfn.IFS(H261&lt;600,"High Risk",H261&lt;=750,"Medium Risk",TRUE,"Low Risk")</f>
        <v>High Risk</v>
      </c>
    </row>
    <row r="262" spans="1:17" x14ac:dyDescent="0.3">
      <c r="A262" t="s">
        <v>435</v>
      </c>
      <c r="B262" t="s">
        <v>436</v>
      </c>
      <c r="C262">
        <v>22</v>
      </c>
      <c r="D262">
        <v>189348</v>
      </c>
      <c r="E262">
        <v>1173227</v>
      </c>
      <c r="F262">
        <v>10.44</v>
      </c>
      <c r="G262">
        <v>240</v>
      </c>
      <c r="H262">
        <v>711</v>
      </c>
      <c r="I262" t="s">
        <v>20</v>
      </c>
      <c r="J262" t="s">
        <v>28</v>
      </c>
      <c r="K262">
        <v>11666</v>
      </c>
      <c r="L262" t="s">
        <v>17</v>
      </c>
      <c r="M262" s="8">
        <v>45263</v>
      </c>
      <c r="N262" t="str">
        <f>_xlfn.XLOOKUP(B262,Customer_Master!A:A,Customer_Master!C:C,"Not Found")</f>
        <v>Bangalore</v>
      </c>
      <c r="O262" t="str">
        <f>_xlfn.XLOOKUP(B262,Customer_Master!A:A,Customer_Master!D:D,"Not Found")</f>
        <v>Salaried</v>
      </c>
      <c r="P262" t="str">
        <f>_xlfn.XLOOKUP(B262,Customer_Master!A:A,Customer_Master!E:E,"Not Found")</f>
        <v>Low</v>
      </c>
      <c r="Q262" t="str" cm="1">
        <f t="array" ref="Q262">_xlfn.IFS(H262&lt;600,"High Risk",H262&lt;=750,"Medium Risk",TRUE,"Low Risk")</f>
        <v>Medium Risk</v>
      </c>
    </row>
    <row r="263" spans="1:17" x14ac:dyDescent="0.3">
      <c r="A263" t="s">
        <v>437</v>
      </c>
      <c r="B263" t="s">
        <v>438</v>
      </c>
      <c r="C263">
        <v>25</v>
      </c>
      <c r="D263">
        <v>128882</v>
      </c>
      <c r="E263">
        <v>125471</v>
      </c>
      <c r="F263">
        <v>11.43</v>
      </c>
      <c r="G263">
        <v>240</v>
      </c>
      <c r="H263">
        <v>662</v>
      </c>
      <c r="I263" t="s">
        <v>20</v>
      </c>
      <c r="J263" t="s">
        <v>16</v>
      </c>
      <c r="K263">
        <v>1332</v>
      </c>
      <c r="L263" t="s">
        <v>22</v>
      </c>
      <c r="M263" s="8">
        <v>45401</v>
      </c>
      <c r="N263" t="str">
        <f>_xlfn.XLOOKUP(B263,Customer_Master!A:A,Customer_Master!C:C,"Not Found")</f>
        <v>Mumbai</v>
      </c>
      <c r="O263" t="str">
        <f>_xlfn.XLOOKUP(B263,Customer_Master!A:A,Customer_Master!D:D,"Not Found")</f>
        <v>Salaried</v>
      </c>
      <c r="P263" t="str">
        <f>_xlfn.XLOOKUP(B263,Customer_Master!A:A,Customer_Master!E:E,"Not Found")</f>
        <v>High</v>
      </c>
      <c r="Q263" t="str" cm="1">
        <f t="array" ref="Q263">_xlfn.IFS(H263&lt;600,"High Risk",H263&lt;=750,"Medium Risk",TRUE,"Low Risk")</f>
        <v>Medium Risk</v>
      </c>
    </row>
    <row r="264" spans="1:17" x14ac:dyDescent="0.3">
      <c r="A264" t="s">
        <v>439</v>
      </c>
      <c r="B264" t="s">
        <v>97</v>
      </c>
      <c r="C264">
        <v>42</v>
      </c>
      <c r="D264">
        <v>31620</v>
      </c>
      <c r="E264">
        <v>822646</v>
      </c>
      <c r="F264">
        <v>9.31</v>
      </c>
      <c r="G264">
        <v>60</v>
      </c>
      <c r="H264">
        <v>519</v>
      </c>
      <c r="I264" t="s">
        <v>15</v>
      </c>
      <c r="J264" t="s">
        <v>39</v>
      </c>
      <c r="K264">
        <v>17201</v>
      </c>
      <c r="L264" t="s">
        <v>17</v>
      </c>
      <c r="M264" s="8">
        <v>45028</v>
      </c>
      <c r="N264" t="str">
        <f>_xlfn.XLOOKUP(B264,Customer_Master!A:A,Customer_Master!C:C,"Not Found")</f>
        <v>Chennai</v>
      </c>
      <c r="O264" t="str">
        <f>_xlfn.XLOOKUP(B264,Customer_Master!A:A,Customer_Master!D:D,"Not Found")</f>
        <v>Business Owner</v>
      </c>
      <c r="P264" t="str">
        <f>_xlfn.XLOOKUP(B264,Customer_Master!A:A,Customer_Master!E:E,"Not Found")</f>
        <v>High</v>
      </c>
      <c r="Q264" t="str" cm="1">
        <f t="array" ref="Q264">_xlfn.IFS(H264&lt;600,"High Risk",H264&lt;=750,"Medium Risk",TRUE,"Low Risk")</f>
        <v>High Risk</v>
      </c>
    </row>
    <row r="265" spans="1:17" x14ac:dyDescent="0.3">
      <c r="A265" t="s">
        <v>440</v>
      </c>
      <c r="B265" t="s">
        <v>169</v>
      </c>
      <c r="C265">
        <v>32</v>
      </c>
      <c r="D265">
        <v>56619</v>
      </c>
      <c r="E265">
        <v>1331943</v>
      </c>
      <c r="F265">
        <v>14.54</v>
      </c>
      <c r="G265">
        <v>12</v>
      </c>
      <c r="H265">
        <v>663</v>
      </c>
      <c r="I265" t="s">
        <v>27</v>
      </c>
      <c r="J265" t="s">
        <v>39</v>
      </c>
      <c r="K265">
        <v>119930</v>
      </c>
      <c r="L265" t="s">
        <v>22</v>
      </c>
      <c r="M265" s="8">
        <v>45321</v>
      </c>
      <c r="N265" t="str">
        <f>_xlfn.XLOOKUP(B265,Customer_Master!A:A,Customer_Master!C:C,"Not Found")</f>
        <v>Hyderabad</v>
      </c>
      <c r="O265" t="str">
        <f>_xlfn.XLOOKUP(B265,Customer_Master!A:A,Customer_Master!D:D,"Not Found")</f>
        <v>Salaried</v>
      </c>
      <c r="P265" t="str">
        <f>_xlfn.XLOOKUP(B265,Customer_Master!A:A,Customer_Master!E:E,"Not Found")</f>
        <v>Medium</v>
      </c>
      <c r="Q265" t="str" cm="1">
        <f t="array" ref="Q265">_xlfn.IFS(H265&lt;600,"High Risk",H265&lt;=750,"Medium Risk",TRUE,"Low Risk")</f>
        <v>Medium Risk</v>
      </c>
    </row>
    <row r="266" spans="1:17" x14ac:dyDescent="0.3">
      <c r="A266" t="s">
        <v>441</v>
      </c>
      <c r="B266" t="s">
        <v>349</v>
      </c>
      <c r="C266">
        <v>32</v>
      </c>
      <c r="D266">
        <v>153524</v>
      </c>
      <c r="E266">
        <v>1688692</v>
      </c>
      <c r="F266">
        <v>10.199999999999999</v>
      </c>
      <c r="G266">
        <v>240</v>
      </c>
      <c r="H266">
        <v>452</v>
      </c>
      <c r="I266" t="s">
        <v>27</v>
      </c>
      <c r="J266" t="s">
        <v>21</v>
      </c>
      <c r="K266">
        <v>16521</v>
      </c>
      <c r="L266" t="s">
        <v>22</v>
      </c>
      <c r="M266" s="8">
        <v>44596</v>
      </c>
      <c r="N266" t="str">
        <f>_xlfn.XLOOKUP(B266,Customer_Master!A:A,Customer_Master!C:C,"Not Found")</f>
        <v>Bangalore</v>
      </c>
      <c r="O266" t="str">
        <f>_xlfn.XLOOKUP(B266,Customer_Master!A:A,Customer_Master!D:D,"Not Found")</f>
        <v>Self-Employed</v>
      </c>
      <c r="P266" t="str">
        <f>_xlfn.XLOOKUP(B266,Customer_Master!A:A,Customer_Master!E:E,"Not Found")</f>
        <v>Medium</v>
      </c>
      <c r="Q266" t="str" cm="1">
        <f t="array" ref="Q266">_xlfn.IFS(H266&lt;600,"High Risk",H266&lt;=750,"Medium Risk",TRUE,"Low Risk")</f>
        <v>High Risk</v>
      </c>
    </row>
    <row r="267" spans="1:17" x14ac:dyDescent="0.3">
      <c r="A267" t="s">
        <v>442</v>
      </c>
      <c r="B267" t="s">
        <v>353</v>
      </c>
      <c r="C267">
        <v>26</v>
      </c>
      <c r="D267">
        <v>136682</v>
      </c>
      <c r="E267">
        <v>787794</v>
      </c>
      <c r="F267">
        <v>13.94</v>
      </c>
      <c r="G267">
        <v>24</v>
      </c>
      <c r="H267">
        <v>501</v>
      </c>
      <c r="I267" t="s">
        <v>15</v>
      </c>
      <c r="J267" t="s">
        <v>28</v>
      </c>
      <c r="K267">
        <v>37802</v>
      </c>
      <c r="L267" t="s">
        <v>34</v>
      </c>
      <c r="M267" s="8">
        <v>44896</v>
      </c>
      <c r="N267" t="str">
        <f>_xlfn.XLOOKUP(B267,Customer_Master!A:A,Customer_Master!C:C,"Not Found")</f>
        <v>Pune</v>
      </c>
      <c r="O267" t="str">
        <f>_xlfn.XLOOKUP(B267,Customer_Master!A:A,Customer_Master!D:D,"Not Found")</f>
        <v>Salaried</v>
      </c>
      <c r="P267" t="str">
        <f>_xlfn.XLOOKUP(B267,Customer_Master!A:A,Customer_Master!E:E,"Not Found")</f>
        <v>High</v>
      </c>
      <c r="Q267" t="str" cm="1">
        <f t="array" ref="Q267">_xlfn.IFS(H267&lt;600,"High Risk",H267&lt;=750,"Medium Risk",TRUE,"Low Risk")</f>
        <v>High Risk</v>
      </c>
    </row>
    <row r="268" spans="1:17" x14ac:dyDescent="0.3">
      <c r="A268" t="s">
        <v>443</v>
      </c>
      <c r="B268" t="s">
        <v>95</v>
      </c>
      <c r="C268">
        <v>54</v>
      </c>
      <c r="D268">
        <v>151602</v>
      </c>
      <c r="E268">
        <v>1010215</v>
      </c>
      <c r="F268">
        <v>12.25</v>
      </c>
      <c r="G268">
        <v>36</v>
      </c>
      <c r="H268">
        <v>692</v>
      </c>
      <c r="I268" t="s">
        <v>31</v>
      </c>
      <c r="J268" t="s">
        <v>39</v>
      </c>
      <c r="K268">
        <v>33674</v>
      </c>
      <c r="L268" t="s">
        <v>22</v>
      </c>
      <c r="M268" s="8">
        <v>44991</v>
      </c>
      <c r="N268" t="str">
        <f>_xlfn.XLOOKUP(B268,Customer_Master!A:A,Customer_Master!C:C,"Not Found")</f>
        <v>Mumbai</v>
      </c>
      <c r="O268" t="str">
        <f>_xlfn.XLOOKUP(B268,Customer_Master!A:A,Customer_Master!D:D,"Not Found")</f>
        <v>Business Owner</v>
      </c>
      <c r="P268" t="str">
        <f>_xlfn.XLOOKUP(B268,Customer_Master!A:A,Customer_Master!E:E,"Not Found")</f>
        <v>Low</v>
      </c>
      <c r="Q268" t="str" cm="1">
        <f t="array" ref="Q268">_xlfn.IFS(H268&lt;600,"High Risk",H268&lt;=750,"Medium Risk",TRUE,"Low Risk")</f>
        <v>Medium Risk</v>
      </c>
    </row>
    <row r="269" spans="1:17" x14ac:dyDescent="0.3">
      <c r="A269" t="s">
        <v>444</v>
      </c>
      <c r="B269" t="s">
        <v>24</v>
      </c>
      <c r="C269">
        <v>52</v>
      </c>
      <c r="D269">
        <v>41383</v>
      </c>
      <c r="E269">
        <v>1101230</v>
      </c>
      <c r="F269">
        <v>16.149999999999999</v>
      </c>
      <c r="G269">
        <v>180</v>
      </c>
      <c r="H269">
        <v>682</v>
      </c>
      <c r="I269" t="s">
        <v>31</v>
      </c>
      <c r="J269" t="s">
        <v>39</v>
      </c>
      <c r="K269">
        <v>16289</v>
      </c>
      <c r="L269" t="s">
        <v>17</v>
      </c>
      <c r="M269" s="8">
        <v>45544</v>
      </c>
      <c r="N269" t="str">
        <f>_xlfn.XLOOKUP(B269,Customer_Master!A:A,Customer_Master!C:C,"Not Found")</f>
        <v>Pune</v>
      </c>
      <c r="O269" t="str">
        <f>_xlfn.XLOOKUP(B269,Customer_Master!A:A,Customer_Master!D:D,"Not Found")</f>
        <v>Business Owner</v>
      </c>
      <c r="P269" t="str">
        <f>_xlfn.XLOOKUP(B269,Customer_Master!A:A,Customer_Master!E:E,"Not Found")</f>
        <v>High</v>
      </c>
      <c r="Q269" t="str" cm="1">
        <f t="array" ref="Q269">_xlfn.IFS(H269&lt;600,"High Risk",H269&lt;=750,"Medium Risk",TRUE,"Low Risk")</f>
        <v>Medium Risk</v>
      </c>
    </row>
    <row r="270" spans="1:17" x14ac:dyDescent="0.3">
      <c r="A270" t="s">
        <v>445</v>
      </c>
      <c r="B270" t="s">
        <v>332</v>
      </c>
      <c r="C270">
        <v>43</v>
      </c>
      <c r="D270">
        <v>142042</v>
      </c>
      <c r="E270">
        <v>717525</v>
      </c>
      <c r="F270">
        <v>12.14</v>
      </c>
      <c r="G270">
        <v>180</v>
      </c>
      <c r="H270">
        <v>676</v>
      </c>
      <c r="I270" t="s">
        <v>31</v>
      </c>
      <c r="J270" t="s">
        <v>39</v>
      </c>
      <c r="K270">
        <v>8676</v>
      </c>
      <c r="L270" t="s">
        <v>22</v>
      </c>
      <c r="M270" s="8">
        <v>45174</v>
      </c>
      <c r="N270" t="str">
        <f>_xlfn.XLOOKUP(B270,Customer_Master!A:A,Customer_Master!C:C,"Not Found")</f>
        <v>Delhi</v>
      </c>
      <c r="O270" t="str">
        <f>_xlfn.XLOOKUP(B270,Customer_Master!A:A,Customer_Master!D:D,"Not Found")</f>
        <v>Salaried</v>
      </c>
      <c r="P270" t="str">
        <f>_xlfn.XLOOKUP(B270,Customer_Master!A:A,Customer_Master!E:E,"Not Found")</f>
        <v>Medium</v>
      </c>
      <c r="Q270" t="str" cm="1">
        <f t="array" ref="Q270">_xlfn.IFS(H270&lt;600,"High Risk",H270&lt;=750,"Medium Risk",TRUE,"Low Risk")</f>
        <v>Medium Risk</v>
      </c>
    </row>
    <row r="271" spans="1:17" x14ac:dyDescent="0.3">
      <c r="A271" t="s">
        <v>446</v>
      </c>
      <c r="B271" t="s">
        <v>43</v>
      </c>
      <c r="C271">
        <v>34</v>
      </c>
      <c r="D271">
        <v>141933</v>
      </c>
      <c r="E271">
        <v>1274364</v>
      </c>
      <c r="F271">
        <v>8.68</v>
      </c>
      <c r="G271">
        <v>60</v>
      </c>
      <c r="H271">
        <v>680</v>
      </c>
      <c r="I271" t="s">
        <v>27</v>
      </c>
      <c r="J271" t="s">
        <v>16</v>
      </c>
      <c r="K271">
        <v>26256</v>
      </c>
      <c r="L271" t="s">
        <v>17</v>
      </c>
      <c r="M271" s="8">
        <v>44781</v>
      </c>
      <c r="N271" t="str">
        <f>_xlfn.XLOOKUP(B271,Customer_Master!A:A,Customer_Master!C:C,"Not Found")</f>
        <v>Chennai</v>
      </c>
      <c r="O271" t="str">
        <f>_xlfn.XLOOKUP(B271,Customer_Master!A:A,Customer_Master!D:D,"Not Found")</f>
        <v>Business Owner</v>
      </c>
      <c r="P271" t="str">
        <f>_xlfn.XLOOKUP(B271,Customer_Master!A:A,Customer_Master!E:E,"Not Found")</f>
        <v>Low</v>
      </c>
      <c r="Q271" t="str" cm="1">
        <f t="array" ref="Q271">_xlfn.IFS(H271&lt;600,"High Risk",H271&lt;=750,"Medium Risk",TRUE,"Low Risk")</f>
        <v>Medium Risk</v>
      </c>
    </row>
    <row r="272" spans="1:17" x14ac:dyDescent="0.3">
      <c r="A272" t="s">
        <v>447</v>
      </c>
      <c r="B272" t="s">
        <v>408</v>
      </c>
      <c r="C272">
        <v>40</v>
      </c>
      <c r="D272">
        <v>91006</v>
      </c>
      <c r="E272">
        <v>1527302</v>
      </c>
      <c r="F272">
        <v>10.25</v>
      </c>
      <c r="G272">
        <v>48</v>
      </c>
      <c r="H272">
        <v>833</v>
      </c>
      <c r="I272" t="s">
        <v>31</v>
      </c>
      <c r="J272" t="s">
        <v>21</v>
      </c>
      <c r="K272">
        <v>38920</v>
      </c>
      <c r="L272" t="s">
        <v>22</v>
      </c>
      <c r="M272" s="8">
        <v>44728</v>
      </c>
      <c r="N272" t="str">
        <f>_xlfn.XLOOKUP(B272,Customer_Master!A:A,Customer_Master!C:C,"Not Found")</f>
        <v>Mumbai</v>
      </c>
      <c r="O272" t="str">
        <f>_xlfn.XLOOKUP(B272,Customer_Master!A:A,Customer_Master!D:D,"Not Found")</f>
        <v>Salaried</v>
      </c>
      <c r="P272" t="str">
        <f>_xlfn.XLOOKUP(B272,Customer_Master!A:A,Customer_Master!E:E,"Not Found")</f>
        <v>Low</v>
      </c>
      <c r="Q272" t="str" cm="1">
        <f t="array" ref="Q272">_xlfn.IFS(H272&lt;600,"High Risk",H272&lt;=750,"Medium Risk",TRUE,"Low Risk")</f>
        <v>Low Risk</v>
      </c>
    </row>
    <row r="273" spans="1:17" x14ac:dyDescent="0.3">
      <c r="A273" t="s">
        <v>448</v>
      </c>
      <c r="B273" t="s">
        <v>63</v>
      </c>
      <c r="C273">
        <v>48</v>
      </c>
      <c r="D273">
        <v>121328</v>
      </c>
      <c r="E273">
        <v>1269185</v>
      </c>
      <c r="F273">
        <v>11.02</v>
      </c>
      <c r="G273">
        <v>120</v>
      </c>
      <c r="H273">
        <v>585</v>
      </c>
      <c r="I273" t="s">
        <v>20</v>
      </c>
      <c r="J273" t="s">
        <v>21</v>
      </c>
      <c r="K273">
        <v>17497</v>
      </c>
      <c r="L273" t="s">
        <v>17</v>
      </c>
      <c r="M273" s="8">
        <v>45546</v>
      </c>
      <c r="N273" t="str">
        <f>_xlfn.XLOOKUP(B273,Customer_Master!A:A,Customer_Master!C:C,"Not Found")</f>
        <v>Mumbai</v>
      </c>
      <c r="O273" t="str">
        <f>_xlfn.XLOOKUP(B273,Customer_Master!A:A,Customer_Master!D:D,"Not Found")</f>
        <v>Business Owner</v>
      </c>
      <c r="P273" t="str">
        <f>_xlfn.XLOOKUP(B273,Customer_Master!A:A,Customer_Master!E:E,"Not Found")</f>
        <v>Medium</v>
      </c>
      <c r="Q273" t="str" cm="1">
        <f t="array" ref="Q273">_xlfn.IFS(H273&lt;600,"High Risk",H273&lt;=750,"Medium Risk",TRUE,"Low Risk")</f>
        <v>High Risk</v>
      </c>
    </row>
    <row r="274" spans="1:17" x14ac:dyDescent="0.3">
      <c r="A274" t="s">
        <v>449</v>
      </c>
      <c r="B274" t="s">
        <v>99</v>
      </c>
      <c r="C274">
        <v>34</v>
      </c>
      <c r="D274">
        <v>51135</v>
      </c>
      <c r="E274">
        <v>1807524</v>
      </c>
      <c r="F274">
        <v>15.27</v>
      </c>
      <c r="G274">
        <v>24</v>
      </c>
      <c r="H274">
        <v>767</v>
      </c>
      <c r="I274" t="s">
        <v>31</v>
      </c>
      <c r="J274" t="s">
        <v>39</v>
      </c>
      <c r="K274">
        <v>87873</v>
      </c>
      <c r="L274" t="s">
        <v>17</v>
      </c>
      <c r="M274" s="8">
        <v>45429</v>
      </c>
      <c r="N274" t="str">
        <f>_xlfn.XLOOKUP(B274,Customer_Master!A:A,Customer_Master!C:C,"Not Found")</f>
        <v>Delhi</v>
      </c>
      <c r="O274" t="str">
        <f>_xlfn.XLOOKUP(B274,Customer_Master!A:A,Customer_Master!D:D,"Not Found")</f>
        <v>Self-Employed</v>
      </c>
      <c r="P274" t="str">
        <f>_xlfn.XLOOKUP(B274,Customer_Master!A:A,Customer_Master!E:E,"Not Found")</f>
        <v>High</v>
      </c>
      <c r="Q274" t="str" cm="1">
        <f t="array" ref="Q274">_xlfn.IFS(H274&lt;600,"High Risk",H274&lt;=750,"Medium Risk",TRUE,"Low Risk")</f>
        <v>Low Risk</v>
      </c>
    </row>
    <row r="275" spans="1:17" x14ac:dyDescent="0.3">
      <c r="A275" t="s">
        <v>450</v>
      </c>
      <c r="B275" t="s">
        <v>451</v>
      </c>
      <c r="C275">
        <v>42</v>
      </c>
      <c r="D275">
        <v>148596</v>
      </c>
      <c r="E275">
        <v>1466618</v>
      </c>
      <c r="F275">
        <v>16.489999999999998</v>
      </c>
      <c r="G275">
        <v>240</v>
      </c>
      <c r="H275">
        <v>458</v>
      </c>
      <c r="I275" t="s">
        <v>20</v>
      </c>
      <c r="J275" t="s">
        <v>39</v>
      </c>
      <c r="K275">
        <v>20945</v>
      </c>
      <c r="L275" t="s">
        <v>34</v>
      </c>
      <c r="M275" s="8">
        <v>45271</v>
      </c>
      <c r="N275" t="str">
        <f>_xlfn.XLOOKUP(B275,Customer_Master!A:A,Customer_Master!C:C,"Not Found")</f>
        <v>Delhi</v>
      </c>
      <c r="O275" t="str">
        <f>_xlfn.XLOOKUP(B275,Customer_Master!A:A,Customer_Master!D:D,"Not Found")</f>
        <v>Self-Employed</v>
      </c>
      <c r="P275" t="str">
        <f>_xlfn.XLOOKUP(B275,Customer_Master!A:A,Customer_Master!E:E,"Not Found")</f>
        <v>Medium</v>
      </c>
      <c r="Q275" t="str" cm="1">
        <f t="array" ref="Q275">_xlfn.IFS(H275&lt;600,"High Risk",H275&lt;=750,"Medium Risk",TRUE,"Low Risk")</f>
        <v>High Risk</v>
      </c>
    </row>
    <row r="276" spans="1:17" x14ac:dyDescent="0.3">
      <c r="A276" t="s">
        <v>452</v>
      </c>
      <c r="B276" t="s">
        <v>194</v>
      </c>
      <c r="C276">
        <v>39</v>
      </c>
      <c r="D276">
        <v>142608</v>
      </c>
      <c r="E276">
        <v>1402613</v>
      </c>
      <c r="F276">
        <v>14.75</v>
      </c>
      <c r="G276">
        <v>36</v>
      </c>
      <c r="H276">
        <v>515</v>
      </c>
      <c r="I276" t="s">
        <v>31</v>
      </c>
      <c r="J276" t="s">
        <v>39</v>
      </c>
      <c r="K276">
        <v>48450</v>
      </c>
      <c r="L276" t="s">
        <v>17</v>
      </c>
      <c r="M276" s="8">
        <v>44590</v>
      </c>
      <c r="N276" t="str">
        <f>_xlfn.XLOOKUP(B276,Customer_Master!A:A,Customer_Master!C:C,"Not Found")</f>
        <v>Chennai</v>
      </c>
      <c r="O276" t="str">
        <f>_xlfn.XLOOKUP(B276,Customer_Master!A:A,Customer_Master!D:D,"Not Found")</f>
        <v>Business Owner</v>
      </c>
      <c r="P276" t="str">
        <f>_xlfn.XLOOKUP(B276,Customer_Master!A:A,Customer_Master!E:E,"Not Found")</f>
        <v>Medium</v>
      </c>
      <c r="Q276" t="str" cm="1">
        <f t="array" ref="Q276">_xlfn.IFS(H276&lt;600,"High Risk",H276&lt;=750,"Medium Risk",TRUE,"Low Risk")</f>
        <v>High Risk</v>
      </c>
    </row>
    <row r="277" spans="1:17" x14ac:dyDescent="0.3">
      <c r="A277" t="s">
        <v>453</v>
      </c>
      <c r="B277" t="s">
        <v>306</v>
      </c>
      <c r="C277">
        <v>32</v>
      </c>
      <c r="D277">
        <v>195528</v>
      </c>
      <c r="E277">
        <v>1550468</v>
      </c>
      <c r="F277">
        <v>16.11</v>
      </c>
      <c r="G277">
        <v>48</v>
      </c>
      <c r="H277">
        <v>571</v>
      </c>
      <c r="I277" t="s">
        <v>27</v>
      </c>
      <c r="J277" t="s">
        <v>16</v>
      </c>
      <c r="K277">
        <v>44028</v>
      </c>
      <c r="L277" t="s">
        <v>34</v>
      </c>
      <c r="M277" s="8">
        <v>44704</v>
      </c>
      <c r="N277" t="str">
        <f>_xlfn.XLOOKUP(B277,Customer_Master!A:A,Customer_Master!C:C,"Not Found")</f>
        <v>Hyderabad</v>
      </c>
      <c r="O277" t="str">
        <f>_xlfn.XLOOKUP(B277,Customer_Master!A:A,Customer_Master!D:D,"Not Found")</f>
        <v>Salaried</v>
      </c>
      <c r="P277" t="str">
        <f>_xlfn.XLOOKUP(B277,Customer_Master!A:A,Customer_Master!E:E,"Not Found")</f>
        <v>Medium</v>
      </c>
      <c r="Q277" t="str" cm="1">
        <f t="array" ref="Q277">_xlfn.IFS(H277&lt;600,"High Risk",H277&lt;=750,"Medium Risk",TRUE,"Low Risk")</f>
        <v>High Risk</v>
      </c>
    </row>
    <row r="278" spans="1:17" x14ac:dyDescent="0.3">
      <c r="A278" t="s">
        <v>454</v>
      </c>
      <c r="B278" t="s">
        <v>455</v>
      </c>
      <c r="C278">
        <v>45</v>
      </c>
      <c r="D278">
        <v>142982</v>
      </c>
      <c r="E278">
        <v>1809360</v>
      </c>
      <c r="F278">
        <v>15.36</v>
      </c>
      <c r="G278">
        <v>12</v>
      </c>
      <c r="H278">
        <v>557</v>
      </c>
      <c r="I278" t="s">
        <v>27</v>
      </c>
      <c r="J278" t="s">
        <v>21</v>
      </c>
      <c r="K278">
        <v>163617</v>
      </c>
      <c r="L278" t="s">
        <v>22</v>
      </c>
      <c r="M278" s="8">
        <v>44943</v>
      </c>
      <c r="N278" t="str">
        <f>_xlfn.XLOOKUP(B278,Customer_Master!A:A,Customer_Master!C:C,"Not Found")</f>
        <v>Delhi</v>
      </c>
      <c r="O278" t="str">
        <f>_xlfn.XLOOKUP(B278,Customer_Master!A:A,Customer_Master!D:D,"Not Found")</f>
        <v>Business Owner</v>
      </c>
      <c r="P278" t="str">
        <f>_xlfn.XLOOKUP(B278,Customer_Master!A:A,Customer_Master!E:E,"Not Found")</f>
        <v>High</v>
      </c>
      <c r="Q278" t="str" cm="1">
        <f t="array" ref="Q278">_xlfn.IFS(H278&lt;600,"High Risk",H278&lt;=750,"Medium Risk",TRUE,"Low Risk")</f>
        <v>High Risk</v>
      </c>
    </row>
    <row r="279" spans="1:17" x14ac:dyDescent="0.3">
      <c r="A279" t="s">
        <v>456</v>
      </c>
      <c r="B279" t="s">
        <v>127</v>
      </c>
      <c r="C279">
        <v>23</v>
      </c>
      <c r="D279">
        <v>113824</v>
      </c>
      <c r="E279">
        <v>1274370</v>
      </c>
      <c r="F279">
        <v>13.19</v>
      </c>
      <c r="G279">
        <v>120</v>
      </c>
      <c r="H279">
        <v>521</v>
      </c>
      <c r="I279" t="s">
        <v>15</v>
      </c>
      <c r="J279" t="s">
        <v>39</v>
      </c>
      <c r="K279">
        <v>19171</v>
      </c>
      <c r="L279" t="s">
        <v>17</v>
      </c>
      <c r="M279" s="8">
        <v>45508</v>
      </c>
      <c r="N279" t="str">
        <f>_xlfn.XLOOKUP(B279,Customer_Master!A:A,Customer_Master!C:C,"Not Found")</f>
        <v>Bangalore</v>
      </c>
      <c r="O279" t="str">
        <f>_xlfn.XLOOKUP(B279,Customer_Master!A:A,Customer_Master!D:D,"Not Found")</f>
        <v>Salaried</v>
      </c>
      <c r="P279" t="str">
        <f>_xlfn.XLOOKUP(B279,Customer_Master!A:A,Customer_Master!E:E,"Not Found")</f>
        <v>Medium</v>
      </c>
      <c r="Q279" t="str" cm="1">
        <f t="array" ref="Q279">_xlfn.IFS(H279&lt;600,"High Risk",H279&lt;=750,"Medium Risk",TRUE,"Low Risk")</f>
        <v>High Risk</v>
      </c>
    </row>
    <row r="280" spans="1:17" x14ac:dyDescent="0.3">
      <c r="A280" t="s">
        <v>457</v>
      </c>
      <c r="B280" t="s">
        <v>284</v>
      </c>
      <c r="C280">
        <v>47</v>
      </c>
      <c r="D280">
        <v>170625</v>
      </c>
      <c r="E280">
        <v>365107</v>
      </c>
      <c r="F280">
        <v>11.74</v>
      </c>
      <c r="G280">
        <v>180</v>
      </c>
      <c r="H280">
        <v>459</v>
      </c>
      <c r="I280" t="s">
        <v>20</v>
      </c>
      <c r="J280" t="s">
        <v>39</v>
      </c>
      <c r="K280">
        <v>4321</v>
      </c>
      <c r="L280" t="s">
        <v>22</v>
      </c>
      <c r="M280" s="8">
        <v>44877</v>
      </c>
      <c r="N280" t="str">
        <f>_xlfn.XLOOKUP(B280,Customer_Master!A:A,Customer_Master!C:C,"Not Found")</f>
        <v>Mumbai</v>
      </c>
      <c r="O280" t="str">
        <f>_xlfn.XLOOKUP(B280,Customer_Master!A:A,Customer_Master!D:D,"Not Found")</f>
        <v>Salaried</v>
      </c>
      <c r="P280" t="str">
        <f>_xlfn.XLOOKUP(B280,Customer_Master!A:A,Customer_Master!E:E,"Not Found")</f>
        <v>Low</v>
      </c>
      <c r="Q280" t="str" cm="1">
        <f t="array" ref="Q280">_xlfn.IFS(H280&lt;600,"High Risk",H280&lt;=750,"Medium Risk",TRUE,"Low Risk")</f>
        <v>High Risk</v>
      </c>
    </row>
    <row r="281" spans="1:17" x14ac:dyDescent="0.3">
      <c r="A281" t="s">
        <v>458</v>
      </c>
      <c r="B281" t="s">
        <v>293</v>
      </c>
      <c r="C281">
        <v>32</v>
      </c>
      <c r="D281">
        <v>156704</v>
      </c>
      <c r="E281">
        <v>584760</v>
      </c>
      <c r="F281">
        <v>15.29</v>
      </c>
      <c r="G281">
        <v>48</v>
      </c>
      <c r="H281">
        <v>714</v>
      </c>
      <c r="I281" t="s">
        <v>20</v>
      </c>
      <c r="J281" t="s">
        <v>39</v>
      </c>
      <c r="K281">
        <v>16360</v>
      </c>
      <c r="L281" t="s">
        <v>22</v>
      </c>
      <c r="M281" s="8">
        <v>45282</v>
      </c>
      <c r="N281" t="str">
        <f>_xlfn.XLOOKUP(B281,Customer_Master!A:A,Customer_Master!C:C,"Not Found")</f>
        <v>Delhi</v>
      </c>
      <c r="O281" t="str">
        <f>_xlfn.XLOOKUP(B281,Customer_Master!A:A,Customer_Master!D:D,"Not Found")</f>
        <v>Salaried</v>
      </c>
      <c r="P281" t="str">
        <f>_xlfn.XLOOKUP(B281,Customer_Master!A:A,Customer_Master!E:E,"Not Found")</f>
        <v>High</v>
      </c>
      <c r="Q281" t="str" cm="1">
        <f t="array" ref="Q281">_xlfn.IFS(H281&lt;600,"High Risk",H281&lt;=750,"Medium Risk",TRUE,"Low Risk")</f>
        <v>Medium Risk</v>
      </c>
    </row>
    <row r="282" spans="1:17" x14ac:dyDescent="0.3">
      <c r="A282" t="s">
        <v>459</v>
      </c>
      <c r="B282" t="s">
        <v>460</v>
      </c>
      <c r="C282">
        <v>28</v>
      </c>
      <c r="D282">
        <v>69666</v>
      </c>
      <c r="E282">
        <v>1839330</v>
      </c>
      <c r="F282">
        <v>15.51</v>
      </c>
      <c r="G282">
        <v>120</v>
      </c>
      <c r="H282">
        <v>692</v>
      </c>
      <c r="I282" t="s">
        <v>27</v>
      </c>
      <c r="J282" t="s">
        <v>16</v>
      </c>
      <c r="K282">
        <v>30252</v>
      </c>
      <c r="L282" t="s">
        <v>22</v>
      </c>
      <c r="M282" s="8">
        <v>45377</v>
      </c>
      <c r="N282" t="str">
        <f>_xlfn.XLOOKUP(B282,Customer_Master!A:A,Customer_Master!C:C,"Not Found")</f>
        <v>Chennai</v>
      </c>
      <c r="O282" t="str">
        <f>_xlfn.XLOOKUP(B282,Customer_Master!A:A,Customer_Master!D:D,"Not Found")</f>
        <v>Self-Employed</v>
      </c>
      <c r="P282" t="str">
        <f>_xlfn.XLOOKUP(B282,Customer_Master!A:A,Customer_Master!E:E,"Not Found")</f>
        <v>High</v>
      </c>
      <c r="Q282" t="str" cm="1">
        <f t="array" ref="Q282">_xlfn.IFS(H282&lt;600,"High Risk",H282&lt;=750,"Medium Risk",TRUE,"Low Risk")</f>
        <v>Medium Risk</v>
      </c>
    </row>
    <row r="283" spans="1:17" x14ac:dyDescent="0.3">
      <c r="A283" t="s">
        <v>461</v>
      </c>
      <c r="B283" t="s">
        <v>462</v>
      </c>
      <c r="C283">
        <v>46</v>
      </c>
      <c r="D283">
        <v>29618</v>
      </c>
      <c r="E283">
        <v>615275</v>
      </c>
      <c r="F283">
        <v>13.93</v>
      </c>
      <c r="G283">
        <v>60</v>
      </c>
      <c r="H283">
        <v>675</v>
      </c>
      <c r="I283" t="s">
        <v>27</v>
      </c>
      <c r="J283" t="s">
        <v>21</v>
      </c>
      <c r="K283">
        <v>14294</v>
      </c>
      <c r="L283" t="s">
        <v>22</v>
      </c>
      <c r="M283" s="8">
        <v>44567</v>
      </c>
      <c r="N283" t="str">
        <f>_xlfn.XLOOKUP(B283,Customer_Master!A:A,Customer_Master!C:C,"Not Found")</f>
        <v>Pune</v>
      </c>
      <c r="O283" t="str">
        <f>_xlfn.XLOOKUP(B283,Customer_Master!A:A,Customer_Master!D:D,"Not Found")</f>
        <v>Salaried</v>
      </c>
      <c r="P283" t="str">
        <f>_xlfn.XLOOKUP(B283,Customer_Master!A:A,Customer_Master!E:E,"Not Found")</f>
        <v>High</v>
      </c>
      <c r="Q283" t="str" cm="1">
        <f t="array" ref="Q283">_xlfn.IFS(H283&lt;600,"High Risk",H283&lt;=750,"Medium Risk",TRUE,"Low Risk")</f>
        <v>Medium Risk</v>
      </c>
    </row>
    <row r="284" spans="1:17" x14ac:dyDescent="0.3">
      <c r="A284" t="s">
        <v>463</v>
      </c>
      <c r="B284" t="s">
        <v>464</v>
      </c>
      <c r="C284">
        <v>51</v>
      </c>
      <c r="D284">
        <v>35644</v>
      </c>
      <c r="E284">
        <v>177669</v>
      </c>
      <c r="F284">
        <v>13.93</v>
      </c>
      <c r="G284">
        <v>60</v>
      </c>
      <c r="H284">
        <v>628</v>
      </c>
      <c r="I284" t="s">
        <v>20</v>
      </c>
      <c r="J284" t="s">
        <v>28</v>
      </c>
      <c r="K284">
        <v>4128</v>
      </c>
      <c r="L284" t="s">
        <v>22</v>
      </c>
      <c r="M284" s="8">
        <v>45113</v>
      </c>
      <c r="N284" t="str">
        <f>_xlfn.XLOOKUP(B284,Customer_Master!A:A,Customer_Master!C:C,"Not Found")</f>
        <v>Bangalore</v>
      </c>
      <c r="O284" t="str">
        <f>_xlfn.XLOOKUP(B284,Customer_Master!A:A,Customer_Master!D:D,"Not Found")</f>
        <v>Salaried</v>
      </c>
      <c r="P284" t="str">
        <f>_xlfn.XLOOKUP(B284,Customer_Master!A:A,Customer_Master!E:E,"Not Found")</f>
        <v>High</v>
      </c>
      <c r="Q284" t="str" cm="1">
        <f t="array" ref="Q284">_xlfn.IFS(H284&lt;600,"High Risk",H284&lt;=750,"Medium Risk",TRUE,"Low Risk")</f>
        <v>Medium Risk</v>
      </c>
    </row>
    <row r="285" spans="1:17" x14ac:dyDescent="0.3">
      <c r="A285" t="s">
        <v>465</v>
      </c>
      <c r="B285" t="s">
        <v>165</v>
      </c>
      <c r="C285">
        <v>26</v>
      </c>
      <c r="D285">
        <v>133582</v>
      </c>
      <c r="E285">
        <v>325451</v>
      </c>
      <c r="F285">
        <v>11.09</v>
      </c>
      <c r="G285">
        <v>36</v>
      </c>
      <c r="H285">
        <v>814</v>
      </c>
      <c r="I285" t="s">
        <v>15</v>
      </c>
      <c r="J285" t="s">
        <v>28</v>
      </c>
      <c r="K285">
        <v>10669</v>
      </c>
      <c r="L285" t="s">
        <v>22</v>
      </c>
      <c r="M285" s="8">
        <v>44568</v>
      </c>
      <c r="N285" t="str">
        <f>_xlfn.XLOOKUP(B285,Customer_Master!A:A,Customer_Master!C:C,"Not Found")</f>
        <v>Hyderabad</v>
      </c>
      <c r="O285" t="str">
        <f>_xlfn.XLOOKUP(B285,Customer_Master!A:A,Customer_Master!D:D,"Not Found")</f>
        <v>Self-Employed</v>
      </c>
      <c r="P285" t="str">
        <f>_xlfn.XLOOKUP(B285,Customer_Master!A:A,Customer_Master!E:E,"Not Found")</f>
        <v>Low</v>
      </c>
      <c r="Q285" t="str" cm="1">
        <f t="array" ref="Q285">_xlfn.IFS(H285&lt;600,"High Risk",H285&lt;=750,"Medium Risk",TRUE,"Low Risk")</f>
        <v>Low Risk</v>
      </c>
    </row>
    <row r="286" spans="1:17" x14ac:dyDescent="0.3">
      <c r="A286" t="s">
        <v>466</v>
      </c>
      <c r="B286" t="s">
        <v>135</v>
      </c>
      <c r="C286">
        <v>54</v>
      </c>
      <c r="D286">
        <v>191306</v>
      </c>
      <c r="E286">
        <v>1369287</v>
      </c>
      <c r="F286">
        <v>13.98</v>
      </c>
      <c r="G286">
        <v>180</v>
      </c>
      <c r="H286">
        <v>464</v>
      </c>
      <c r="I286" t="s">
        <v>31</v>
      </c>
      <c r="J286" t="s">
        <v>39</v>
      </c>
      <c r="K286">
        <v>18217</v>
      </c>
      <c r="L286" t="s">
        <v>22</v>
      </c>
      <c r="M286" s="8">
        <v>44684</v>
      </c>
      <c r="N286" t="str">
        <f>_xlfn.XLOOKUP(B286,Customer_Master!A:A,Customer_Master!C:C,"Not Found")</f>
        <v>Bangalore</v>
      </c>
      <c r="O286" t="str">
        <f>_xlfn.XLOOKUP(B286,Customer_Master!A:A,Customer_Master!D:D,"Not Found")</f>
        <v>Self-Employed</v>
      </c>
      <c r="P286" t="str">
        <f>_xlfn.XLOOKUP(B286,Customer_Master!A:A,Customer_Master!E:E,"Not Found")</f>
        <v>Medium</v>
      </c>
      <c r="Q286" t="str" cm="1">
        <f t="array" ref="Q286">_xlfn.IFS(H286&lt;600,"High Risk",H286&lt;=750,"Medium Risk",TRUE,"Low Risk")</f>
        <v>High Risk</v>
      </c>
    </row>
    <row r="287" spans="1:17" x14ac:dyDescent="0.3">
      <c r="A287" t="s">
        <v>467</v>
      </c>
      <c r="B287" t="s">
        <v>424</v>
      </c>
      <c r="C287">
        <v>56</v>
      </c>
      <c r="D287">
        <v>82116</v>
      </c>
      <c r="E287">
        <v>1353345</v>
      </c>
      <c r="F287">
        <v>12.9</v>
      </c>
      <c r="G287">
        <v>60</v>
      </c>
      <c r="H287">
        <v>576</v>
      </c>
      <c r="I287" t="s">
        <v>27</v>
      </c>
      <c r="J287" t="s">
        <v>28</v>
      </c>
      <c r="K287">
        <v>30724</v>
      </c>
      <c r="L287" t="s">
        <v>22</v>
      </c>
      <c r="M287" s="8">
        <v>45056</v>
      </c>
      <c r="N287" t="str">
        <f>_xlfn.XLOOKUP(B287,Customer_Master!A:A,Customer_Master!C:C,"Not Found")</f>
        <v>Pune</v>
      </c>
      <c r="O287" t="str">
        <f>_xlfn.XLOOKUP(B287,Customer_Master!A:A,Customer_Master!D:D,"Not Found")</f>
        <v>Salaried</v>
      </c>
      <c r="P287" t="str">
        <f>_xlfn.XLOOKUP(B287,Customer_Master!A:A,Customer_Master!E:E,"Not Found")</f>
        <v>High</v>
      </c>
      <c r="Q287" t="str" cm="1">
        <f t="array" ref="Q287">_xlfn.IFS(H287&lt;600,"High Risk",H287&lt;=750,"Medium Risk",TRUE,"Low Risk")</f>
        <v>High Risk</v>
      </c>
    </row>
    <row r="288" spans="1:17" x14ac:dyDescent="0.3">
      <c r="A288" t="s">
        <v>468</v>
      </c>
      <c r="B288" t="s">
        <v>469</v>
      </c>
      <c r="C288">
        <v>33</v>
      </c>
      <c r="D288">
        <v>61803</v>
      </c>
      <c r="E288">
        <v>1429693</v>
      </c>
      <c r="F288">
        <v>16.329999999999998</v>
      </c>
      <c r="G288">
        <v>180</v>
      </c>
      <c r="H288">
        <v>664</v>
      </c>
      <c r="I288" t="s">
        <v>15</v>
      </c>
      <c r="J288" t="s">
        <v>16</v>
      </c>
      <c r="K288">
        <v>21328</v>
      </c>
      <c r="L288" t="s">
        <v>22</v>
      </c>
      <c r="M288" s="8">
        <v>45187</v>
      </c>
      <c r="N288" t="str">
        <f>_xlfn.XLOOKUP(B288,Customer_Master!A:A,Customer_Master!C:C,"Not Found")</f>
        <v>Delhi</v>
      </c>
      <c r="O288" t="str">
        <f>_xlfn.XLOOKUP(B288,Customer_Master!A:A,Customer_Master!D:D,"Not Found")</f>
        <v>Self-Employed</v>
      </c>
      <c r="P288" t="str">
        <f>_xlfn.XLOOKUP(B288,Customer_Master!A:A,Customer_Master!E:E,"Not Found")</f>
        <v>High</v>
      </c>
      <c r="Q288" t="str" cm="1">
        <f t="array" ref="Q288">_xlfn.IFS(H288&lt;600,"High Risk",H288&lt;=750,"Medium Risk",TRUE,"Low Risk")</f>
        <v>Medium Risk</v>
      </c>
    </row>
    <row r="289" spans="1:17" x14ac:dyDescent="0.3">
      <c r="A289" t="s">
        <v>470</v>
      </c>
      <c r="B289" t="s">
        <v>41</v>
      </c>
      <c r="C289">
        <v>31</v>
      </c>
      <c r="D289">
        <v>30492</v>
      </c>
      <c r="E289">
        <v>1519063</v>
      </c>
      <c r="F289">
        <v>8.7200000000000006</v>
      </c>
      <c r="G289">
        <v>36</v>
      </c>
      <c r="H289">
        <v>705</v>
      </c>
      <c r="I289" t="s">
        <v>20</v>
      </c>
      <c r="J289" t="s">
        <v>21</v>
      </c>
      <c r="K289">
        <v>48108</v>
      </c>
      <c r="L289" t="s">
        <v>22</v>
      </c>
      <c r="M289" s="8">
        <v>44808</v>
      </c>
      <c r="N289" t="str">
        <f>_xlfn.XLOOKUP(B289,Customer_Master!A:A,Customer_Master!C:C,"Not Found")</f>
        <v>Delhi</v>
      </c>
      <c r="O289" t="str">
        <f>_xlfn.XLOOKUP(B289,Customer_Master!A:A,Customer_Master!D:D,"Not Found")</f>
        <v>Business Owner</v>
      </c>
      <c r="P289" t="str">
        <f>_xlfn.XLOOKUP(B289,Customer_Master!A:A,Customer_Master!E:E,"Not Found")</f>
        <v>High</v>
      </c>
      <c r="Q289" t="str" cm="1">
        <f t="array" ref="Q289">_xlfn.IFS(H289&lt;600,"High Risk",H289&lt;=750,"Medium Risk",TRUE,"Low Risk")</f>
        <v>Medium Risk</v>
      </c>
    </row>
    <row r="290" spans="1:17" x14ac:dyDescent="0.3">
      <c r="A290" t="s">
        <v>471</v>
      </c>
      <c r="B290" t="s">
        <v>472</v>
      </c>
      <c r="C290">
        <v>42</v>
      </c>
      <c r="D290">
        <v>159540</v>
      </c>
      <c r="E290">
        <v>826745</v>
      </c>
      <c r="F290">
        <v>15.89</v>
      </c>
      <c r="G290">
        <v>36</v>
      </c>
      <c r="H290">
        <v>600</v>
      </c>
      <c r="I290" t="s">
        <v>31</v>
      </c>
      <c r="J290" t="s">
        <v>39</v>
      </c>
      <c r="K290">
        <v>29021</v>
      </c>
      <c r="L290" t="s">
        <v>22</v>
      </c>
      <c r="M290" s="8">
        <v>45379</v>
      </c>
      <c r="N290" t="str">
        <f>_xlfn.XLOOKUP(B290,Customer_Master!A:A,Customer_Master!C:C,"Not Found")</f>
        <v>Bangalore</v>
      </c>
      <c r="O290" t="str">
        <f>_xlfn.XLOOKUP(B290,Customer_Master!A:A,Customer_Master!D:D,"Not Found")</f>
        <v>Business Owner</v>
      </c>
      <c r="P290" t="str">
        <f>_xlfn.XLOOKUP(B290,Customer_Master!A:A,Customer_Master!E:E,"Not Found")</f>
        <v>Medium</v>
      </c>
      <c r="Q290" t="str" cm="1">
        <f t="array" ref="Q290">_xlfn.IFS(H290&lt;600,"High Risk",H290&lt;=750,"Medium Risk",TRUE,"Low Risk")</f>
        <v>Medium Risk</v>
      </c>
    </row>
    <row r="291" spans="1:17" x14ac:dyDescent="0.3">
      <c r="A291" t="s">
        <v>473</v>
      </c>
      <c r="B291" t="s">
        <v>474</v>
      </c>
      <c r="C291">
        <v>55</v>
      </c>
      <c r="D291">
        <v>32191</v>
      </c>
      <c r="E291">
        <v>1543993</v>
      </c>
      <c r="F291">
        <v>10.64</v>
      </c>
      <c r="G291">
        <v>120</v>
      </c>
      <c r="H291">
        <v>680</v>
      </c>
      <c r="I291" t="s">
        <v>20</v>
      </c>
      <c r="J291" t="s">
        <v>21</v>
      </c>
      <c r="K291">
        <v>20955</v>
      </c>
      <c r="L291" t="s">
        <v>22</v>
      </c>
      <c r="M291" s="8">
        <v>45517</v>
      </c>
      <c r="N291" t="str">
        <f>_xlfn.XLOOKUP(B291,Customer_Master!A:A,Customer_Master!C:C,"Not Found")</f>
        <v>Chennai</v>
      </c>
      <c r="O291" t="str">
        <f>_xlfn.XLOOKUP(B291,Customer_Master!A:A,Customer_Master!D:D,"Not Found")</f>
        <v>Salaried</v>
      </c>
      <c r="P291" t="str">
        <f>_xlfn.XLOOKUP(B291,Customer_Master!A:A,Customer_Master!E:E,"Not Found")</f>
        <v>High</v>
      </c>
      <c r="Q291" t="str" cm="1">
        <f t="array" ref="Q291">_xlfn.IFS(H291&lt;600,"High Risk",H291&lt;=750,"Medium Risk",TRUE,"Low Risk")</f>
        <v>Medium Risk</v>
      </c>
    </row>
    <row r="292" spans="1:17" x14ac:dyDescent="0.3">
      <c r="A292" t="s">
        <v>475</v>
      </c>
      <c r="B292" t="s">
        <v>476</v>
      </c>
      <c r="C292">
        <v>43</v>
      </c>
      <c r="D292">
        <v>51418</v>
      </c>
      <c r="E292">
        <v>860303</v>
      </c>
      <c r="F292">
        <v>13.2</v>
      </c>
      <c r="G292">
        <v>12</v>
      </c>
      <c r="H292">
        <v>523</v>
      </c>
      <c r="I292" t="s">
        <v>20</v>
      </c>
      <c r="J292" t="s">
        <v>16</v>
      </c>
      <c r="K292">
        <v>76921</v>
      </c>
      <c r="L292" t="s">
        <v>34</v>
      </c>
      <c r="M292" s="8">
        <v>45282</v>
      </c>
      <c r="N292" t="str">
        <f>_xlfn.XLOOKUP(B292,Customer_Master!A:A,Customer_Master!C:C,"Not Found")</f>
        <v>Bangalore</v>
      </c>
      <c r="O292" t="str">
        <f>_xlfn.XLOOKUP(B292,Customer_Master!A:A,Customer_Master!D:D,"Not Found")</f>
        <v>Self-Employed</v>
      </c>
      <c r="P292" t="str">
        <f>_xlfn.XLOOKUP(B292,Customer_Master!A:A,Customer_Master!E:E,"Not Found")</f>
        <v>High</v>
      </c>
      <c r="Q292" t="str" cm="1">
        <f t="array" ref="Q292">_xlfn.IFS(H292&lt;600,"High Risk",H292&lt;=750,"Medium Risk",TRUE,"Low Risk")</f>
        <v>High Risk</v>
      </c>
    </row>
    <row r="293" spans="1:17" x14ac:dyDescent="0.3">
      <c r="A293" t="s">
        <v>477</v>
      </c>
      <c r="B293" t="s">
        <v>234</v>
      </c>
      <c r="C293">
        <v>30</v>
      </c>
      <c r="D293">
        <v>188194</v>
      </c>
      <c r="E293">
        <v>1180029</v>
      </c>
      <c r="F293">
        <v>12.23</v>
      </c>
      <c r="G293">
        <v>24</v>
      </c>
      <c r="H293">
        <v>480</v>
      </c>
      <c r="I293" t="s">
        <v>27</v>
      </c>
      <c r="J293" t="s">
        <v>39</v>
      </c>
      <c r="K293">
        <v>55675</v>
      </c>
      <c r="L293" t="s">
        <v>22</v>
      </c>
      <c r="M293" s="8">
        <v>44927</v>
      </c>
      <c r="N293" t="str">
        <f>_xlfn.XLOOKUP(B293,Customer_Master!A:A,Customer_Master!C:C,"Not Found")</f>
        <v>Chennai</v>
      </c>
      <c r="O293" t="str">
        <f>_xlfn.XLOOKUP(B293,Customer_Master!A:A,Customer_Master!D:D,"Not Found")</f>
        <v>Self-Employed</v>
      </c>
      <c r="P293" t="str">
        <f>_xlfn.XLOOKUP(B293,Customer_Master!A:A,Customer_Master!E:E,"Not Found")</f>
        <v>Low</v>
      </c>
      <c r="Q293" t="str" cm="1">
        <f t="array" ref="Q293">_xlfn.IFS(H293&lt;600,"High Risk",H293&lt;=750,"Medium Risk",TRUE,"Low Risk")</f>
        <v>High Risk</v>
      </c>
    </row>
    <row r="294" spans="1:17" x14ac:dyDescent="0.3">
      <c r="A294" t="s">
        <v>478</v>
      </c>
      <c r="B294" t="s">
        <v>41</v>
      </c>
      <c r="C294">
        <v>30</v>
      </c>
      <c r="D294">
        <v>145920</v>
      </c>
      <c r="E294">
        <v>1684123</v>
      </c>
      <c r="F294">
        <v>12.38</v>
      </c>
      <c r="G294">
        <v>12</v>
      </c>
      <c r="H294">
        <v>805</v>
      </c>
      <c r="I294" t="s">
        <v>27</v>
      </c>
      <c r="J294" t="s">
        <v>21</v>
      </c>
      <c r="K294">
        <v>149932</v>
      </c>
      <c r="L294" t="s">
        <v>17</v>
      </c>
      <c r="M294" s="8">
        <v>44894</v>
      </c>
      <c r="N294" t="str">
        <f>_xlfn.XLOOKUP(B294,Customer_Master!A:A,Customer_Master!C:C,"Not Found")</f>
        <v>Delhi</v>
      </c>
      <c r="O294" t="str">
        <f>_xlfn.XLOOKUP(B294,Customer_Master!A:A,Customer_Master!D:D,"Not Found")</f>
        <v>Business Owner</v>
      </c>
      <c r="P294" t="str">
        <f>_xlfn.XLOOKUP(B294,Customer_Master!A:A,Customer_Master!E:E,"Not Found")</f>
        <v>High</v>
      </c>
      <c r="Q294" t="str" cm="1">
        <f t="array" ref="Q294">_xlfn.IFS(H294&lt;600,"High Risk",H294&lt;=750,"Medium Risk",TRUE,"Low Risk")</f>
        <v>Low Risk</v>
      </c>
    </row>
    <row r="295" spans="1:17" x14ac:dyDescent="0.3">
      <c r="A295" t="s">
        <v>479</v>
      </c>
      <c r="B295" t="s">
        <v>422</v>
      </c>
      <c r="C295">
        <v>30</v>
      </c>
      <c r="D295">
        <v>58203</v>
      </c>
      <c r="E295">
        <v>1993034</v>
      </c>
      <c r="F295">
        <v>11.74</v>
      </c>
      <c r="G295">
        <v>240</v>
      </c>
      <c r="H295">
        <v>656</v>
      </c>
      <c r="I295" t="s">
        <v>15</v>
      </c>
      <c r="J295" t="s">
        <v>16</v>
      </c>
      <c r="K295">
        <v>21585</v>
      </c>
      <c r="L295" t="s">
        <v>22</v>
      </c>
      <c r="M295" s="8">
        <v>45154</v>
      </c>
      <c r="N295" t="str">
        <f>_xlfn.XLOOKUP(B295,Customer_Master!A:A,Customer_Master!C:C,"Not Found")</f>
        <v>Delhi</v>
      </c>
      <c r="O295" t="str">
        <f>_xlfn.XLOOKUP(B295,Customer_Master!A:A,Customer_Master!D:D,"Not Found")</f>
        <v>Salaried</v>
      </c>
      <c r="P295" t="str">
        <f>_xlfn.XLOOKUP(B295,Customer_Master!A:A,Customer_Master!E:E,"Not Found")</f>
        <v>High</v>
      </c>
      <c r="Q295" t="str" cm="1">
        <f t="array" ref="Q295">_xlfn.IFS(H295&lt;600,"High Risk",H295&lt;=750,"Medium Risk",TRUE,"Low Risk")</f>
        <v>Medium Risk</v>
      </c>
    </row>
    <row r="296" spans="1:17" x14ac:dyDescent="0.3">
      <c r="A296" t="s">
        <v>480</v>
      </c>
      <c r="B296" t="s">
        <v>262</v>
      </c>
      <c r="C296">
        <v>49</v>
      </c>
      <c r="D296">
        <v>118054</v>
      </c>
      <c r="E296">
        <v>1880190</v>
      </c>
      <c r="F296">
        <v>12.27</v>
      </c>
      <c r="G296">
        <v>60</v>
      </c>
      <c r="H296">
        <v>591</v>
      </c>
      <c r="I296" t="s">
        <v>20</v>
      </c>
      <c r="J296" t="s">
        <v>16</v>
      </c>
      <c r="K296">
        <v>42081</v>
      </c>
      <c r="L296" t="s">
        <v>22</v>
      </c>
      <c r="M296" s="8">
        <v>45180</v>
      </c>
      <c r="N296" t="str">
        <f>_xlfn.XLOOKUP(B296,Customer_Master!A:A,Customer_Master!C:C,"Not Found")</f>
        <v>Delhi</v>
      </c>
      <c r="O296" t="str">
        <f>_xlfn.XLOOKUP(B296,Customer_Master!A:A,Customer_Master!D:D,"Not Found")</f>
        <v>Salaried</v>
      </c>
      <c r="P296" t="str">
        <f>_xlfn.XLOOKUP(B296,Customer_Master!A:A,Customer_Master!E:E,"Not Found")</f>
        <v>Low</v>
      </c>
      <c r="Q296" t="str" cm="1">
        <f t="array" ref="Q296">_xlfn.IFS(H296&lt;600,"High Risk",H296&lt;=750,"Medium Risk",TRUE,"Low Risk")</f>
        <v>High Risk</v>
      </c>
    </row>
    <row r="297" spans="1:17" x14ac:dyDescent="0.3">
      <c r="A297" t="s">
        <v>481</v>
      </c>
      <c r="B297" t="s">
        <v>365</v>
      </c>
      <c r="C297">
        <v>31</v>
      </c>
      <c r="D297">
        <v>64593</v>
      </c>
      <c r="E297">
        <v>1914328</v>
      </c>
      <c r="F297">
        <v>15.24</v>
      </c>
      <c r="G297">
        <v>12</v>
      </c>
      <c r="H297">
        <v>624</v>
      </c>
      <c r="I297" t="s">
        <v>15</v>
      </c>
      <c r="J297" t="s">
        <v>21</v>
      </c>
      <c r="K297">
        <v>173001</v>
      </c>
      <c r="L297" t="s">
        <v>17</v>
      </c>
      <c r="M297" s="8">
        <v>44898</v>
      </c>
      <c r="N297" t="str">
        <f>_xlfn.XLOOKUP(B297,Customer_Master!A:A,Customer_Master!C:C,"Not Found")</f>
        <v>Pune</v>
      </c>
      <c r="O297" t="str">
        <f>_xlfn.XLOOKUP(B297,Customer_Master!A:A,Customer_Master!D:D,"Not Found")</f>
        <v>Business Owner</v>
      </c>
      <c r="P297" t="str">
        <f>_xlfn.XLOOKUP(B297,Customer_Master!A:A,Customer_Master!E:E,"Not Found")</f>
        <v>Low</v>
      </c>
      <c r="Q297" t="str" cm="1">
        <f t="array" ref="Q297">_xlfn.IFS(H297&lt;600,"High Risk",H297&lt;=750,"Medium Risk",TRUE,"Low Risk")</f>
        <v>Medium Risk</v>
      </c>
    </row>
    <row r="298" spans="1:17" x14ac:dyDescent="0.3">
      <c r="A298" t="s">
        <v>482</v>
      </c>
      <c r="B298" t="s">
        <v>483</v>
      </c>
      <c r="C298">
        <v>32</v>
      </c>
      <c r="D298">
        <v>97150</v>
      </c>
      <c r="E298">
        <v>359647</v>
      </c>
      <c r="F298">
        <v>14.53</v>
      </c>
      <c r="G298">
        <v>240</v>
      </c>
      <c r="H298">
        <v>833</v>
      </c>
      <c r="I298" t="s">
        <v>20</v>
      </c>
      <c r="J298" t="s">
        <v>16</v>
      </c>
      <c r="K298">
        <v>4611</v>
      </c>
      <c r="L298" t="s">
        <v>22</v>
      </c>
      <c r="M298" s="8">
        <v>45262</v>
      </c>
      <c r="N298" t="str">
        <f>_xlfn.XLOOKUP(B298,Customer_Master!A:A,Customer_Master!C:C,"Not Found")</f>
        <v>Hyderabad</v>
      </c>
      <c r="O298" t="str">
        <f>_xlfn.XLOOKUP(B298,Customer_Master!A:A,Customer_Master!D:D,"Not Found")</f>
        <v>Self-Employed</v>
      </c>
      <c r="P298" t="str">
        <f>_xlfn.XLOOKUP(B298,Customer_Master!A:A,Customer_Master!E:E,"Not Found")</f>
        <v>Medium</v>
      </c>
      <c r="Q298" t="str" cm="1">
        <f t="array" ref="Q298">_xlfn.IFS(H298&lt;600,"High Risk",H298&lt;=750,"Medium Risk",TRUE,"Low Risk")</f>
        <v>Low Risk</v>
      </c>
    </row>
    <row r="299" spans="1:17" x14ac:dyDescent="0.3">
      <c r="A299" t="s">
        <v>484</v>
      </c>
      <c r="B299" t="s">
        <v>154</v>
      </c>
      <c r="C299">
        <v>31</v>
      </c>
      <c r="D299">
        <v>144738</v>
      </c>
      <c r="E299">
        <v>1956548</v>
      </c>
      <c r="F299">
        <v>15.19</v>
      </c>
      <c r="G299">
        <v>12</v>
      </c>
      <c r="H299">
        <v>634</v>
      </c>
      <c r="I299" t="s">
        <v>31</v>
      </c>
      <c r="J299" t="s">
        <v>28</v>
      </c>
      <c r="K299">
        <v>176770</v>
      </c>
      <c r="L299" t="s">
        <v>22</v>
      </c>
      <c r="M299" s="8">
        <v>45212</v>
      </c>
      <c r="N299" t="str">
        <f>_xlfn.XLOOKUP(B299,Customer_Master!A:A,Customer_Master!C:C,"Not Found")</f>
        <v>Pune</v>
      </c>
      <c r="O299" t="str">
        <f>_xlfn.XLOOKUP(B299,Customer_Master!A:A,Customer_Master!D:D,"Not Found")</f>
        <v>Self-Employed</v>
      </c>
      <c r="P299" t="str">
        <f>_xlfn.XLOOKUP(B299,Customer_Master!A:A,Customer_Master!E:E,"Not Found")</f>
        <v>Medium</v>
      </c>
      <c r="Q299" t="str" cm="1">
        <f t="array" ref="Q299">_xlfn.IFS(H299&lt;600,"High Risk",H299&lt;=750,"Medium Risk",TRUE,"Low Risk")</f>
        <v>Medium Risk</v>
      </c>
    </row>
    <row r="300" spans="1:17" x14ac:dyDescent="0.3">
      <c r="A300" t="s">
        <v>485</v>
      </c>
      <c r="B300" t="s">
        <v>486</v>
      </c>
      <c r="C300">
        <v>48</v>
      </c>
      <c r="D300">
        <v>142765</v>
      </c>
      <c r="E300">
        <v>1679871</v>
      </c>
      <c r="F300">
        <v>13.57</v>
      </c>
      <c r="G300">
        <v>240</v>
      </c>
      <c r="H300">
        <v>758</v>
      </c>
      <c r="I300" t="s">
        <v>15</v>
      </c>
      <c r="J300" t="s">
        <v>28</v>
      </c>
      <c r="K300">
        <v>20367</v>
      </c>
      <c r="L300" t="s">
        <v>22</v>
      </c>
      <c r="M300" s="8">
        <v>45534</v>
      </c>
      <c r="N300" t="str">
        <f>_xlfn.XLOOKUP(B300,Customer_Master!A:A,Customer_Master!C:C,"Not Found")</f>
        <v>Chennai</v>
      </c>
      <c r="O300" t="str">
        <f>_xlfn.XLOOKUP(B300,Customer_Master!A:A,Customer_Master!D:D,"Not Found")</f>
        <v>Self-Employed</v>
      </c>
      <c r="P300" t="str">
        <f>_xlfn.XLOOKUP(B300,Customer_Master!A:A,Customer_Master!E:E,"Not Found")</f>
        <v>Medium</v>
      </c>
      <c r="Q300" t="str" cm="1">
        <f t="array" ref="Q300">_xlfn.IFS(H300&lt;600,"High Risk",H300&lt;=750,"Medium Risk",TRUE,"Low Risk")</f>
        <v>Low Risk</v>
      </c>
    </row>
    <row r="301" spans="1:17" x14ac:dyDescent="0.3">
      <c r="A301" t="s">
        <v>487</v>
      </c>
      <c r="B301" t="s">
        <v>389</v>
      </c>
      <c r="C301">
        <v>34</v>
      </c>
      <c r="D301">
        <v>147296</v>
      </c>
      <c r="E301">
        <v>1248035</v>
      </c>
      <c r="F301">
        <v>11.33</v>
      </c>
      <c r="G301">
        <v>48</v>
      </c>
      <c r="H301">
        <v>480</v>
      </c>
      <c r="I301" t="s">
        <v>20</v>
      </c>
      <c r="J301" t="s">
        <v>21</v>
      </c>
      <c r="K301">
        <v>32456</v>
      </c>
      <c r="L301" t="s">
        <v>22</v>
      </c>
      <c r="M301" s="8">
        <v>44944</v>
      </c>
      <c r="N301" t="str">
        <f>_xlfn.XLOOKUP(B301,Customer_Master!A:A,Customer_Master!C:C,"Not Found")</f>
        <v>Pune</v>
      </c>
      <c r="O301" t="str">
        <f>_xlfn.XLOOKUP(B301,Customer_Master!A:A,Customer_Master!D:D,"Not Found")</f>
        <v>Self-Employed</v>
      </c>
      <c r="P301" t="str">
        <f>_xlfn.XLOOKUP(B301,Customer_Master!A:A,Customer_Master!E:E,"Not Found")</f>
        <v>Medium</v>
      </c>
      <c r="Q301" t="str" cm="1">
        <f t="array" ref="Q301">_xlfn.IFS(H301&lt;600,"High Risk",H301&lt;=750,"Medium Risk",TRUE,"Low Risk")</f>
        <v>High Risk</v>
      </c>
    </row>
    <row r="302" spans="1:17" x14ac:dyDescent="0.3">
      <c r="A302" t="s">
        <v>488</v>
      </c>
      <c r="B302" t="s">
        <v>412</v>
      </c>
      <c r="C302">
        <v>50</v>
      </c>
      <c r="D302">
        <v>193385</v>
      </c>
      <c r="E302">
        <v>725981</v>
      </c>
      <c r="F302">
        <v>11.91</v>
      </c>
      <c r="G302">
        <v>36</v>
      </c>
      <c r="H302">
        <v>721</v>
      </c>
      <c r="I302" t="s">
        <v>20</v>
      </c>
      <c r="J302" t="s">
        <v>16</v>
      </c>
      <c r="K302">
        <v>24082</v>
      </c>
      <c r="L302" t="s">
        <v>17</v>
      </c>
      <c r="M302" s="8">
        <v>45537</v>
      </c>
      <c r="N302" t="str">
        <f>_xlfn.XLOOKUP(B302,Customer_Master!A:A,Customer_Master!C:C,"Not Found")</f>
        <v>Hyderabad</v>
      </c>
      <c r="O302" t="str">
        <f>_xlfn.XLOOKUP(B302,Customer_Master!A:A,Customer_Master!D:D,"Not Found")</f>
        <v>Business Owner</v>
      </c>
      <c r="P302" t="str">
        <f>_xlfn.XLOOKUP(B302,Customer_Master!A:A,Customer_Master!E:E,"Not Found")</f>
        <v>High</v>
      </c>
      <c r="Q302" t="str" cm="1">
        <f t="array" ref="Q302">_xlfn.IFS(H302&lt;600,"High Risk",H302&lt;=750,"Medium Risk",TRUE,"Low Risk")</f>
        <v>Medium Risk</v>
      </c>
    </row>
    <row r="303" spans="1:17" x14ac:dyDescent="0.3">
      <c r="A303" t="s">
        <v>489</v>
      </c>
      <c r="B303" t="s">
        <v>67</v>
      </c>
      <c r="C303">
        <v>51</v>
      </c>
      <c r="D303">
        <v>180673</v>
      </c>
      <c r="E303">
        <v>1112477</v>
      </c>
      <c r="F303">
        <v>9.5500000000000007</v>
      </c>
      <c r="G303">
        <v>36</v>
      </c>
      <c r="H303">
        <v>725</v>
      </c>
      <c r="I303" t="s">
        <v>31</v>
      </c>
      <c r="J303" t="s">
        <v>39</v>
      </c>
      <c r="K303">
        <v>35662</v>
      </c>
      <c r="L303" t="s">
        <v>22</v>
      </c>
      <c r="M303" s="8">
        <v>45397</v>
      </c>
      <c r="N303" t="str">
        <f>_xlfn.XLOOKUP(B303,Customer_Master!A:A,Customer_Master!C:C,"Not Found")</f>
        <v>Hyderabad</v>
      </c>
      <c r="O303" t="str">
        <f>_xlfn.XLOOKUP(B303,Customer_Master!A:A,Customer_Master!D:D,"Not Found")</f>
        <v>Business Owner</v>
      </c>
      <c r="P303" t="str">
        <f>_xlfn.XLOOKUP(B303,Customer_Master!A:A,Customer_Master!E:E,"Not Found")</f>
        <v>High</v>
      </c>
      <c r="Q303" t="str" cm="1">
        <f t="array" ref="Q303">_xlfn.IFS(H303&lt;600,"High Risk",H303&lt;=750,"Medium Risk",TRUE,"Low Risk")</f>
        <v>Medium Risk</v>
      </c>
    </row>
    <row r="304" spans="1:17" x14ac:dyDescent="0.3">
      <c r="A304" t="s">
        <v>490</v>
      </c>
      <c r="B304" t="s">
        <v>247</v>
      </c>
      <c r="C304">
        <v>40</v>
      </c>
      <c r="D304">
        <v>68883</v>
      </c>
      <c r="E304">
        <v>1493649</v>
      </c>
      <c r="F304">
        <v>10.29</v>
      </c>
      <c r="G304">
        <v>60</v>
      </c>
      <c r="H304">
        <v>815</v>
      </c>
      <c r="I304" t="s">
        <v>27</v>
      </c>
      <c r="J304" t="s">
        <v>21</v>
      </c>
      <c r="K304">
        <v>31949</v>
      </c>
      <c r="L304" t="s">
        <v>17</v>
      </c>
      <c r="M304" s="8">
        <v>45238</v>
      </c>
      <c r="N304" t="str">
        <f>_xlfn.XLOOKUP(B304,Customer_Master!A:A,Customer_Master!C:C,"Not Found")</f>
        <v>Mumbai</v>
      </c>
      <c r="O304" t="str">
        <f>_xlfn.XLOOKUP(B304,Customer_Master!A:A,Customer_Master!D:D,"Not Found")</f>
        <v>Business Owner</v>
      </c>
      <c r="P304" t="str">
        <f>_xlfn.XLOOKUP(B304,Customer_Master!A:A,Customer_Master!E:E,"Not Found")</f>
        <v>High</v>
      </c>
      <c r="Q304" t="str" cm="1">
        <f t="array" ref="Q304">_xlfn.IFS(H304&lt;600,"High Risk",H304&lt;=750,"Medium Risk",TRUE,"Low Risk")</f>
        <v>Low Risk</v>
      </c>
    </row>
    <row r="305" spans="1:17" x14ac:dyDescent="0.3">
      <c r="A305" t="s">
        <v>491</v>
      </c>
      <c r="B305" t="s">
        <v>384</v>
      </c>
      <c r="C305">
        <v>50</v>
      </c>
      <c r="D305">
        <v>31205</v>
      </c>
      <c r="E305">
        <v>1980369</v>
      </c>
      <c r="F305">
        <v>11.04</v>
      </c>
      <c r="G305">
        <v>180</v>
      </c>
      <c r="H305">
        <v>717</v>
      </c>
      <c r="I305" t="s">
        <v>20</v>
      </c>
      <c r="J305" t="s">
        <v>21</v>
      </c>
      <c r="K305">
        <v>22559</v>
      </c>
      <c r="L305" t="s">
        <v>22</v>
      </c>
      <c r="M305" s="8">
        <v>44730</v>
      </c>
      <c r="N305" t="str">
        <f>_xlfn.XLOOKUP(B305,Customer_Master!A:A,Customer_Master!C:C,"Not Found")</f>
        <v>Bangalore</v>
      </c>
      <c r="O305" t="str">
        <f>_xlfn.XLOOKUP(B305,Customer_Master!A:A,Customer_Master!D:D,"Not Found")</f>
        <v>Salaried</v>
      </c>
      <c r="P305" t="str">
        <f>_xlfn.XLOOKUP(B305,Customer_Master!A:A,Customer_Master!E:E,"Not Found")</f>
        <v>Medium</v>
      </c>
      <c r="Q305" t="str" cm="1">
        <f t="array" ref="Q305">_xlfn.IFS(H305&lt;600,"High Risk",H305&lt;=750,"Medium Risk",TRUE,"Low Risk")</f>
        <v>Medium Risk</v>
      </c>
    </row>
    <row r="306" spans="1:17" x14ac:dyDescent="0.3">
      <c r="A306" t="s">
        <v>492</v>
      </c>
      <c r="B306" t="s">
        <v>224</v>
      </c>
      <c r="C306">
        <v>54</v>
      </c>
      <c r="D306">
        <v>101839</v>
      </c>
      <c r="E306">
        <v>1952792</v>
      </c>
      <c r="F306">
        <v>14.94</v>
      </c>
      <c r="G306">
        <v>180</v>
      </c>
      <c r="H306">
        <v>827</v>
      </c>
      <c r="I306" t="s">
        <v>31</v>
      </c>
      <c r="J306" t="s">
        <v>28</v>
      </c>
      <c r="K306">
        <v>27251</v>
      </c>
      <c r="L306" t="s">
        <v>22</v>
      </c>
      <c r="M306" s="8">
        <v>44704</v>
      </c>
      <c r="N306" t="str">
        <f>_xlfn.XLOOKUP(B306,Customer_Master!A:A,Customer_Master!C:C,"Not Found")</f>
        <v>Hyderabad</v>
      </c>
      <c r="O306" t="str">
        <f>_xlfn.XLOOKUP(B306,Customer_Master!A:A,Customer_Master!D:D,"Not Found")</f>
        <v>Business Owner</v>
      </c>
      <c r="P306" t="str">
        <f>_xlfn.XLOOKUP(B306,Customer_Master!A:A,Customer_Master!E:E,"Not Found")</f>
        <v>Low</v>
      </c>
      <c r="Q306" t="str" cm="1">
        <f t="array" ref="Q306">_xlfn.IFS(H306&lt;600,"High Risk",H306&lt;=750,"Medium Risk",TRUE,"Low Risk")</f>
        <v>Low Risk</v>
      </c>
    </row>
    <row r="307" spans="1:17" x14ac:dyDescent="0.3">
      <c r="A307" t="s">
        <v>493</v>
      </c>
      <c r="B307" t="s">
        <v>249</v>
      </c>
      <c r="C307">
        <v>54</v>
      </c>
      <c r="D307">
        <v>70969</v>
      </c>
      <c r="E307">
        <v>842390</v>
      </c>
      <c r="F307">
        <v>15.08</v>
      </c>
      <c r="G307">
        <v>180</v>
      </c>
      <c r="H307">
        <v>458</v>
      </c>
      <c r="I307" t="s">
        <v>15</v>
      </c>
      <c r="J307" t="s">
        <v>28</v>
      </c>
      <c r="K307">
        <v>11836</v>
      </c>
      <c r="L307" t="s">
        <v>34</v>
      </c>
      <c r="M307" s="8">
        <v>44721</v>
      </c>
      <c r="N307" t="str">
        <f>_xlfn.XLOOKUP(B307,Customer_Master!A:A,Customer_Master!C:C,"Not Found")</f>
        <v>Mumbai</v>
      </c>
      <c r="O307" t="str">
        <f>_xlfn.XLOOKUP(B307,Customer_Master!A:A,Customer_Master!D:D,"Not Found")</f>
        <v>Business Owner</v>
      </c>
      <c r="P307" t="str">
        <f>_xlfn.XLOOKUP(B307,Customer_Master!A:A,Customer_Master!E:E,"Not Found")</f>
        <v>Medium</v>
      </c>
      <c r="Q307" t="str" cm="1">
        <f t="array" ref="Q307">_xlfn.IFS(H307&lt;600,"High Risk",H307&lt;=750,"Medium Risk",TRUE,"Low Risk")</f>
        <v>High Risk</v>
      </c>
    </row>
    <row r="308" spans="1:17" x14ac:dyDescent="0.3">
      <c r="A308" t="s">
        <v>494</v>
      </c>
      <c r="B308" t="s">
        <v>76</v>
      </c>
      <c r="C308">
        <v>51</v>
      </c>
      <c r="D308">
        <v>60252</v>
      </c>
      <c r="E308">
        <v>398140</v>
      </c>
      <c r="F308">
        <v>13.72</v>
      </c>
      <c r="G308">
        <v>120</v>
      </c>
      <c r="H308">
        <v>835</v>
      </c>
      <c r="I308" t="s">
        <v>15</v>
      </c>
      <c r="J308" t="s">
        <v>21</v>
      </c>
      <c r="K308">
        <v>6115</v>
      </c>
      <c r="L308" t="s">
        <v>17</v>
      </c>
      <c r="M308" s="8">
        <v>45197</v>
      </c>
      <c r="N308" t="str">
        <f>_xlfn.XLOOKUP(B308,Customer_Master!A:A,Customer_Master!C:C,"Not Found")</f>
        <v>Pune</v>
      </c>
      <c r="O308" t="str">
        <f>_xlfn.XLOOKUP(B308,Customer_Master!A:A,Customer_Master!D:D,"Not Found")</f>
        <v>Self-Employed</v>
      </c>
      <c r="P308" t="str">
        <f>_xlfn.XLOOKUP(B308,Customer_Master!A:A,Customer_Master!E:E,"Not Found")</f>
        <v>Low</v>
      </c>
      <c r="Q308" t="str" cm="1">
        <f t="array" ref="Q308">_xlfn.IFS(H308&lt;600,"High Risk",H308&lt;=750,"Medium Risk",TRUE,"Low Risk")</f>
        <v>Low Risk</v>
      </c>
    </row>
    <row r="309" spans="1:17" x14ac:dyDescent="0.3">
      <c r="A309" t="s">
        <v>495</v>
      </c>
      <c r="B309" t="s">
        <v>474</v>
      </c>
      <c r="C309">
        <v>59</v>
      </c>
      <c r="D309">
        <v>53796</v>
      </c>
      <c r="E309">
        <v>850718</v>
      </c>
      <c r="F309">
        <v>11.09</v>
      </c>
      <c r="G309">
        <v>240</v>
      </c>
      <c r="H309">
        <v>512</v>
      </c>
      <c r="I309" t="s">
        <v>20</v>
      </c>
      <c r="J309" t="s">
        <v>16</v>
      </c>
      <c r="K309">
        <v>8833</v>
      </c>
      <c r="L309" t="s">
        <v>34</v>
      </c>
      <c r="M309" s="8">
        <v>44622</v>
      </c>
      <c r="N309" t="str">
        <f>_xlfn.XLOOKUP(B309,Customer_Master!A:A,Customer_Master!C:C,"Not Found")</f>
        <v>Chennai</v>
      </c>
      <c r="O309" t="str">
        <f>_xlfn.XLOOKUP(B309,Customer_Master!A:A,Customer_Master!D:D,"Not Found")</f>
        <v>Salaried</v>
      </c>
      <c r="P309" t="str">
        <f>_xlfn.XLOOKUP(B309,Customer_Master!A:A,Customer_Master!E:E,"Not Found")</f>
        <v>High</v>
      </c>
      <c r="Q309" t="str" cm="1">
        <f t="array" ref="Q309">_xlfn.IFS(H309&lt;600,"High Risk",H309&lt;=750,"Medium Risk",TRUE,"Low Risk")</f>
        <v>High Risk</v>
      </c>
    </row>
    <row r="310" spans="1:17" x14ac:dyDescent="0.3">
      <c r="A310" t="s">
        <v>496</v>
      </c>
      <c r="B310" t="s">
        <v>462</v>
      </c>
      <c r="C310">
        <v>49</v>
      </c>
      <c r="D310">
        <v>63941</v>
      </c>
      <c r="E310">
        <v>184340</v>
      </c>
      <c r="F310">
        <v>8.06</v>
      </c>
      <c r="G310">
        <v>60</v>
      </c>
      <c r="H310">
        <v>609</v>
      </c>
      <c r="I310" t="s">
        <v>31</v>
      </c>
      <c r="J310" t="s">
        <v>16</v>
      </c>
      <c r="K310">
        <v>3743</v>
      </c>
      <c r="L310" t="s">
        <v>22</v>
      </c>
      <c r="M310" s="8">
        <v>45078</v>
      </c>
      <c r="N310" t="str">
        <f>_xlfn.XLOOKUP(B310,Customer_Master!A:A,Customer_Master!C:C,"Not Found")</f>
        <v>Pune</v>
      </c>
      <c r="O310" t="str">
        <f>_xlfn.XLOOKUP(B310,Customer_Master!A:A,Customer_Master!D:D,"Not Found")</f>
        <v>Salaried</v>
      </c>
      <c r="P310" t="str">
        <f>_xlfn.XLOOKUP(B310,Customer_Master!A:A,Customer_Master!E:E,"Not Found")</f>
        <v>High</v>
      </c>
      <c r="Q310" t="str" cm="1">
        <f t="array" ref="Q310">_xlfn.IFS(H310&lt;600,"High Risk",H310&lt;=750,"Medium Risk",TRUE,"Low Risk")</f>
        <v>Medium Risk</v>
      </c>
    </row>
    <row r="311" spans="1:17" x14ac:dyDescent="0.3">
      <c r="A311" t="s">
        <v>497</v>
      </c>
      <c r="B311" t="s">
        <v>241</v>
      </c>
      <c r="C311">
        <v>25</v>
      </c>
      <c r="D311">
        <v>48933</v>
      </c>
      <c r="E311">
        <v>426314</v>
      </c>
      <c r="F311">
        <v>7.51</v>
      </c>
      <c r="G311">
        <v>48</v>
      </c>
      <c r="H311">
        <v>789</v>
      </c>
      <c r="I311" t="s">
        <v>20</v>
      </c>
      <c r="J311" t="s">
        <v>21</v>
      </c>
      <c r="K311">
        <v>10310</v>
      </c>
      <c r="L311" t="s">
        <v>17</v>
      </c>
      <c r="M311" s="8">
        <v>45101</v>
      </c>
      <c r="N311" t="str">
        <f>_xlfn.XLOOKUP(B311,Customer_Master!A:A,Customer_Master!C:C,"Not Found")</f>
        <v>Mumbai</v>
      </c>
      <c r="O311" t="str">
        <f>_xlfn.XLOOKUP(B311,Customer_Master!A:A,Customer_Master!D:D,"Not Found")</f>
        <v>Self-Employed</v>
      </c>
      <c r="P311" t="str">
        <f>_xlfn.XLOOKUP(B311,Customer_Master!A:A,Customer_Master!E:E,"Not Found")</f>
        <v>High</v>
      </c>
      <c r="Q311" t="str" cm="1">
        <f t="array" ref="Q311">_xlfn.IFS(H311&lt;600,"High Risk",H311&lt;=750,"Medium Risk",TRUE,"Low Risk")</f>
        <v>Low Risk</v>
      </c>
    </row>
    <row r="312" spans="1:17" x14ac:dyDescent="0.3">
      <c r="A312" t="s">
        <v>498</v>
      </c>
      <c r="B312" t="s">
        <v>76</v>
      </c>
      <c r="C312">
        <v>46</v>
      </c>
      <c r="D312">
        <v>69631</v>
      </c>
      <c r="E312">
        <v>681729</v>
      </c>
      <c r="F312">
        <v>11.33</v>
      </c>
      <c r="G312">
        <v>60</v>
      </c>
      <c r="H312">
        <v>505</v>
      </c>
      <c r="I312" t="s">
        <v>31</v>
      </c>
      <c r="J312" t="s">
        <v>21</v>
      </c>
      <c r="K312">
        <v>14935</v>
      </c>
      <c r="L312" t="s">
        <v>22</v>
      </c>
      <c r="M312" s="8">
        <v>45396</v>
      </c>
      <c r="N312" t="str">
        <f>_xlfn.XLOOKUP(B312,Customer_Master!A:A,Customer_Master!C:C,"Not Found")</f>
        <v>Pune</v>
      </c>
      <c r="O312" t="str">
        <f>_xlfn.XLOOKUP(B312,Customer_Master!A:A,Customer_Master!D:D,"Not Found")</f>
        <v>Self-Employed</v>
      </c>
      <c r="P312" t="str">
        <f>_xlfn.XLOOKUP(B312,Customer_Master!A:A,Customer_Master!E:E,"Not Found")</f>
        <v>Low</v>
      </c>
      <c r="Q312" t="str" cm="1">
        <f t="array" ref="Q312">_xlfn.IFS(H312&lt;600,"High Risk",H312&lt;=750,"Medium Risk",TRUE,"Low Risk")</f>
        <v>High Risk</v>
      </c>
    </row>
    <row r="313" spans="1:17" x14ac:dyDescent="0.3">
      <c r="A313" t="s">
        <v>499</v>
      </c>
      <c r="B313" t="s">
        <v>500</v>
      </c>
      <c r="C313">
        <v>41</v>
      </c>
      <c r="D313">
        <v>56271</v>
      </c>
      <c r="E313">
        <v>1448173</v>
      </c>
      <c r="F313">
        <v>16.329999999999998</v>
      </c>
      <c r="G313">
        <v>180</v>
      </c>
      <c r="H313">
        <v>842</v>
      </c>
      <c r="I313" t="s">
        <v>20</v>
      </c>
      <c r="J313" t="s">
        <v>28</v>
      </c>
      <c r="K313">
        <v>21603</v>
      </c>
      <c r="L313" t="s">
        <v>22</v>
      </c>
      <c r="M313" s="8">
        <v>44926</v>
      </c>
      <c r="N313" t="str">
        <f>_xlfn.XLOOKUP(B313,Customer_Master!A:A,Customer_Master!C:C,"Not Found")</f>
        <v>Bangalore</v>
      </c>
      <c r="O313" t="str">
        <f>_xlfn.XLOOKUP(B313,Customer_Master!A:A,Customer_Master!D:D,"Not Found")</f>
        <v>Business Owner</v>
      </c>
      <c r="P313" t="str">
        <f>_xlfn.XLOOKUP(B313,Customer_Master!A:A,Customer_Master!E:E,"Not Found")</f>
        <v>Medium</v>
      </c>
      <c r="Q313" t="str" cm="1">
        <f t="array" ref="Q313">_xlfn.IFS(H313&lt;600,"High Risk",H313&lt;=750,"Medium Risk",TRUE,"Low Risk")</f>
        <v>Low Risk</v>
      </c>
    </row>
    <row r="314" spans="1:17" x14ac:dyDescent="0.3">
      <c r="A314" t="s">
        <v>501</v>
      </c>
      <c r="B314" t="s">
        <v>502</v>
      </c>
      <c r="C314">
        <v>24</v>
      </c>
      <c r="D314">
        <v>183171</v>
      </c>
      <c r="E314">
        <v>1213952</v>
      </c>
      <c r="F314">
        <v>15.27</v>
      </c>
      <c r="G314">
        <v>180</v>
      </c>
      <c r="H314">
        <v>654</v>
      </c>
      <c r="I314" t="s">
        <v>20</v>
      </c>
      <c r="J314" t="s">
        <v>16</v>
      </c>
      <c r="K314">
        <v>17215</v>
      </c>
      <c r="L314" t="s">
        <v>22</v>
      </c>
      <c r="M314" s="8">
        <v>44730</v>
      </c>
      <c r="N314" t="str">
        <f>_xlfn.XLOOKUP(B314,Customer_Master!A:A,Customer_Master!C:C,"Not Found")</f>
        <v>Hyderabad</v>
      </c>
      <c r="O314" t="str">
        <f>_xlfn.XLOOKUP(B314,Customer_Master!A:A,Customer_Master!D:D,"Not Found")</f>
        <v>Business Owner</v>
      </c>
      <c r="P314" t="str">
        <f>_xlfn.XLOOKUP(B314,Customer_Master!A:A,Customer_Master!E:E,"Not Found")</f>
        <v>Medium</v>
      </c>
      <c r="Q314" t="str" cm="1">
        <f t="array" ref="Q314">_xlfn.IFS(H314&lt;600,"High Risk",H314&lt;=750,"Medium Risk",TRUE,"Low Risk")</f>
        <v>Medium Risk</v>
      </c>
    </row>
    <row r="315" spans="1:17" x14ac:dyDescent="0.3">
      <c r="A315" t="s">
        <v>503</v>
      </c>
      <c r="B315" t="s">
        <v>146</v>
      </c>
      <c r="C315">
        <v>38</v>
      </c>
      <c r="D315">
        <v>43216</v>
      </c>
      <c r="E315">
        <v>1656254</v>
      </c>
      <c r="F315">
        <v>16.46</v>
      </c>
      <c r="G315">
        <v>240</v>
      </c>
      <c r="H315">
        <v>529</v>
      </c>
      <c r="I315" t="s">
        <v>20</v>
      </c>
      <c r="J315" t="s">
        <v>16</v>
      </c>
      <c r="K315">
        <v>23616</v>
      </c>
      <c r="L315" t="s">
        <v>34</v>
      </c>
      <c r="M315" s="8">
        <v>45442</v>
      </c>
      <c r="N315" t="str">
        <f>_xlfn.XLOOKUP(B315,Customer_Master!A:A,Customer_Master!C:C,"Not Found")</f>
        <v>Mumbai</v>
      </c>
      <c r="O315" t="str">
        <f>_xlfn.XLOOKUP(B315,Customer_Master!A:A,Customer_Master!D:D,"Not Found")</f>
        <v>Salaried</v>
      </c>
      <c r="P315" t="str">
        <f>_xlfn.XLOOKUP(B315,Customer_Master!A:A,Customer_Master!E:E,"Not Found")</f>
        <v>Low</v>
      </c>
      <c r="Q315" t="str" cm="1">
        <f t="array" ref="Q315">_xlfn.IFS(H315&lt;600,"High Risk",H315&lt;=750,"Medium Risk",TRUE,"Low Risk")</f>
        <v>High Risk</v>
      </c>
    </row>
    <row r="316" spans="1:17" x14ac:dyDescent="0.3">
      <c r="A316" t="s">
        <v>504</v>
      </c>
      <c r="B316" t="s">
        <v>505</v>
      </c>
      <c r="C316">
        <v>27</v>
      </c>
      <c r="D316">
        <v>198133</v>
      </c>
      <c r="E316">
        <v>892775</v>
      </c>
      <c r="F316">
        <v>12.91</v>
      </c>
      <c r="G316">
        <v>36</v>
      </c>
      <c r="H316">
        <v>475</v>
      </c>
      <c r="I316" t="s">
        <v>20</v>
      </c>
      <c r="J316" t="s">
        <v>39</v>
      </c>
      <c r="K316">
        <v>30042</v>
      </c>
      <c r="L316" t="s">
        <v>34</v>
      </c>
      <c r="M316" s="8">
        <v>44616</v>
      </c>
      <c r="N316" t="str">
        <f>_xlfn.XLOOKUP(B316,Customer_Master!A:A,Customer_Master!C:C,"Not Found")</f>
        <v>Delhi</v>
      </c>
      <c r="O316" t="str">
        <f>_xlfn.XLOOKUP(B316,Customer_Master!A:A,Customer_Master!D:D,"Not Found")</f>
        <v>Salaried</v>
      </c>
      <c r="P316" t="str">
        <f>_xlfn.XLOOKUP(B316,Customer_Master!A:A,Customer_Master!E:E,"Not Found")</f>
        <v>Low</v>
      </c>
      <c r="Q316" t="str" cm="1">
        <f t="array" ref="Q316">_xlfn.IFS(H316&lt;600,"High Risk",H316&lt;=750,"Medium Risk",TRUE,"Low Risk")</f>
        <v>High Risk</v>
      </c>
    </row>
    <row r="317" spans="1:17" x14ac:dyDescent="0.3">
      <c r="A317" t="s">
        <v>506</v>
      </c>
      <c r="B317" t="s">
        <v>216</v>
      </c>
      <c r="C317">
        <v>36</v>
      </c>
      <c r="D317">
        <v>131011</v>
      </c>
      <c r="E317">
        <v>1094235</v>
      </c>
      <c r="F317">
        <v>8.11</v>
      </c>
      <c r="G317">
        <v>240</v>
      </c>
      <c r="H317">
        <v>537</v>
      </c>
      <c r="I317" t="s">
        <v>20</v>
      </c>
      <c r="J317" t="s">
        <v>28</v>
      </c>
      <c r="K317">
        <v>9228</v>
      </c>
      <c r="L317" t="s">
        <v>34</v>
      </c>
      <c r="M317" s="8">
        <v>45104</v>
      </c>
      <c r="N317" t="str">
        <f>_xlfn.XLOOKUP(B317,Customer_Master!A:A,Customer_Master!C:C,"Not Found")</f>
        <v>Chennai</v>
      </c>
      <c r="O317" t="str">
        <f>_xlfn.XLOOKUP(B317,Customer_Master!A:A,Customer_Master!D:D,"Not Found")</f>
        <v>Business Owner</v>
      </c>
      <c r="P317" t="str">
        <f>_xlfn.XLOOKUP(B317,Customer_Master!A:A,Customer_Master!E:E,"Not Found")</f>
        <v>Medium</v>
      </c>
      <c r="Q317" t="str" cm="1">
        <f t="array" ref="Q317">_xlfn.IFS(H317&lt;600,"High Risk",H317&lt;=750,"Medium Risk",TRUE,"Low Risk")</f>
        <v>High Risk</v>
      </c>
    </row>
    <row r="318" spans="1:17" x14ac:dyDescent="0.3">
      <c r="A318" t="s">
        <v>507</v>
      </c>
      <c r="B318" t="s">
        <v>114</v>
      </c>
      <c r="C318">
        <v>26</v>
      </c>
      <c r="D318">
        <v>137211</v>
      </c>
      <c r="E318">
        <v>1299310</v>
      </c>
      <c r="F318">
        <v>14.02</v>
      </c>
      <c r="G318">
        <v>120</v>
      </c>
      <c r="H318">
        <v>540</v>
      </c>
      <c r="I318" t="s">
        <v>31</v>
      </c>
      <c r="J318" t="s">
        <v>28</v>
      </c>
      <c r="K318">
        <v>20190</v>
      </c>
      <c r="L318" t="s">
        <v>22</v>
      </c>
      <c r="M318" s="8">
        <v>44738</v>
      </c>
      <c r="N318" t="str">
        <f>_xlfn.XLOOKUP(B318,Customer_Master!A:A,Customer_Master!C:C,"Not Found")</f>
        <v>Bangalore</v>
      </c>
      <c r="O318" t="str">
        <f>_xlfn.XLOOKUP(B318,Customer_Master!A:A,Customer_Master!D:D,"Not Found")</f>
        <v>Self-Employed</v>
      </c>
      <c r="P318" t="str">
        <f>_xlfn.XLOOKUP(B318,Customer_Master!A:A,Customer_Master!E:E,"Not Found")</f>
        <v>Medium</v>
      </c>
      <c r="Q318" t="str" cm="1">
        <f t="array" ref="Q318">_xlfn.IFS(H318&lt;600,"High Risk",H318&lt;=750,"Medium Risk",TRUE,"Low Risk")</f>
        <v>High Risk</v>
      </c>
    </row>
    <row r="319" spans="1:17" x14ac:dyDescent="0.3">
      <c r="A319" t="s">
        <v>508</v>
      </c>
      <c r="B319" t="s">
        <v>78</v>
      </c>
      <c r="C319">
        <v>25</v>
      </c>
      <c r="D319">
        <v>55885</v>
      </c>
      <c r="E319">
        <v>1960136</v>
      </c>
      <c r="F319">
        <v>16.18</v>
      </c>
      <c r="G319">
        <v>120</v>
      </c>
      <c r="H319">
        <v>711</v>
      </c>
      <c r="I319" t="s">
        <v>27</v>
      </c>
      <c r="J319" t="s">
        <v>39</v>
      </c>
      <c r="K319">
        <v>33055</v>
      </c>
      <c r="L319" t="s">
        <v>22</v>
      </c>
      <c r="M319" s="8">
        <v>44736</v>
      </c>
      <c r="N319" t="str">
        <f>_xlfn.XLOOKUP(B319,Customer_Master!A:A,Customer_Master!C:C,"Not Found")</f>
        <v>Mumbai</v>
      </c>
      <c r="O319" t="str">
        <f>_xlfn.XLOOKUP(B319,Customer_Master!A:A,Customer_Master!D:D,"Not Found")</f>
        <v>Self-Employed</v>
      </c>
      <c r="P319" t="str">
        <f>_xlfn.XLOOKUP(B319,Customer_Master!A:A,Customer_Master!E:E,"Not Found")</f>
        <v>High</v>
      </c>
      <c r="Q319" t="str" cm="1">
        <f t="array" ref="Q319">_xlfn.IFS(H319&lt;600,"High Risk",H319&lt;=750,"Medium Risk",TRUE,"Low Risk")</f>
        <v>Medium Risk</v>
      </c>
    </row>
    <row r="320" spans="1:17" x14ac:dyDescent="0.3">
      <c r="A320" t="s">
        <v>509</v>
      </c>
      <c r="B320" t="s">
        <v>345</v>
      </c>
      <c r="C320">
        <v>42</v>
      </c>
      <c r="D320">
        <v>136023</v>
      </c>
      <c r="E320">
        <v>1967437</v>
      </c>
      <c r="F320">
        <v>12.39</v>
      </c>
      <c r="G320">
        <v>240</v>
      </c>
      <c r="H320">
        <v>574</v>
      </c>
      <c r="I320" t="s">
        <v>31</v>
      </c>
      <c r="J320" t="s">
        <v>21</v>
      </c>
      <c r="K320">
        <v>22200</v>
      </c>
      <c r="L320" t="s">
        <v>17</v>
      </c>
      <c r="M320" s="8">
        <v>44806</v>
      </c>
      <c r="N320" t="str">
        <f>_xlfn.XLOOKUP(B320,Customer_Master!A:A,Customer_Master!C:C,"Not Found")</f>
        <v>Mumbai</v>
      </c>
      <c r="O320" t="str">
        <f>_xlfn.XLOOKUP(B320,Customer_Master!A:A,Customer_Master!D:D,"Not Found")</f>
        <v>Self-Employed</v>
      </c>
      <c r="P320" t="str">
        <f>_xlfn.XLOOKUP(B320,Customer_Master!A:A,Customer_Master!E:E,"Not Found")</f>
        <v>Medium</v>
      </c>
      <c r="Q320" t="str" cm="1">
        <f t="array" ref="Q320">_xlfn.IFS(H320&lt;600,"High Risk",H320&lt;=750,"Medium Risk",TRUE,"Low Risk")</f>
        <v>High Risk</v>
      </c>
    </row>
    <row r="321" spans="1:17" x14ac:dyDescent="0.3">
      <c r="A321" t="s">
        <v>510</v>
      </c>
      <c r="B321" t="s">
        <v>511</v>
      </c>
      <c r="C321">
        <v>34</v>
      </c>
      <c r="D321">
        <v>125319</v>
      </c>
      <c r="E321">
        <v>1942794</v>
      </c>
      <c r="F321">
        <v>11.19</v>
      </c>
      <c r="G321">
        <v>12</v>
      </c>
      <c r="H321">
        <v>615</v>
      </c>
      <c r="I321" t="s">
        <v>27</v>
      </c>
      <c r="J321" t="s">
        <v>21</v>
      </c>
      <c r="K321">
        <v>171880</v>
      </c>
      <c r="L321" t="s">
        <v>22</v>
      </c>
      <c r="M321" s="8">
        <v>45191</v>
      </c>
      <c r="N321" t="str">
        <f>_xlfn.XLOOKUP(B321,Customer_Master!A:A,Customer_Master!C:C,"Not Found")</f>
        <v>Chennai</v>
      </c>
      <c r="O321" t="str">
        <f>_xlfn.XLOOKUP(B321,Customer_Master!A:A,Customer_Master!D:D,"Not Found")</f>
        <v>Business Owner</v>
      </c>
      <c r="P321" t="str">
        <f>_xlfn.XLOOKUP(B321,Customer_Master!A:A,Customer_Master!E:E,"Not Found")</f>
        <v>Medium</v>
      </c>
      <c r="Q321" t="str" cm="1">
        <f t="array" ref="Q321">_xlfn.IFS(H321&lt;600,"High Risk",H321&lt;=750,"Medium Risk",TRUE,"Low Risk")</f>
        <v>Medium Risk</v>
      </c>
    </row>
    <row r="322" spans="1:17" x14ac:dyDescent="0.3">
      <c r="A322" t="s">
        <v>512</v>
      </c>
      <c r="B322" t="s">
        <v>300</v>
      </c>
      <c r="C322">
        <v>56</v>
      </c>
      <c r="D322">
        <v>107218</v>
      </c>
      <c r="E322">
        <v>1190078</v>
      </c>
      <c r="F322">
        <v>12.35</v>
      </c>
      <c r="G322">
        <v>240</v>
      </c>
      <c r="H322">
        <v>815</v>
      </c>
      <c r="I322" t="s">
        <v>27</v>
      </c>
      <c r="J322" t="s">
        <v>16</v>
      </c>
      <c r="K322">
        <v>13395</v>
      </c>
      <c r="L322" t="s">
        <v>22</v>
      </c>
      <c r="M322" s="8">
        <v>44922</v>
      </c>
      <c r="N322" t="str">
        <f>_xlfn.XLOOKUP(B322,Customer_Master!A:A,Customer_Master!C:C,"Not Found")</f>
        <v>Chennai</v>
      </c>
      <c r="O322" t="str">
        <f>_xlfn.XLOOKUP(B322,Customer_Master!A:A,Customer_Master!D:D,"Not Found")</f>
        <v>Business Owner</v>
      </c>
      <c r="P322" t="str">
        <f>_xlfn.XLOOKUP(B322,Customer_Master!A:A,Customer_Master!E:E,"Not Found")</f>
        <v>Low</v>
      </c>
      <c r="Q322" t="str" cm="1">
        <f t="array" ref="Q322">_xlfn.IFS(H322&lt;600,"High Risk",H322&lt;=750,"Medium Risk",TRUE,"Low Risk")</f>
        <v>Low Risk</v>
      </c>
    </row>
    <row r="323" spans="1:17" x14ac:dyDescent="0.3">
      <c r="A323" t="s">
        <v>513</v>
      </c>
      <c r="B323" t="s">
        <v>47</v>
      </c>
      <c r="C323">
        <v>60</v>
      </c>
      <c r="D323">
        <v>156256</v>
      </c>
      <c r="E323">
        <v>1048917</v>
      </c>
      <c r="F323">
        <v>10.75</v>
      </c>
      <c r="G323">
        <v>36</v>
      </c>
      <c r="H323">
        <v>568</v>
      </c>
      <c r="I323" t="s">
        <v>15</v>
      </c>
      <c r="J323" t="s">
        <v>21</v>
      </c>
      <c r="K323">
        <v>34216</v>
      </c>
      <c r="L323" t="s">
        <v>34</v>
      </c>
      <c r="M323" s="8">
        <v>45257</v>
      </c>
      <c r="N323" t="str">
        <f>_xlfn.XLOOKUP(B323,Customer_Master!A:A,Customer_Master!C:C,"Not Found")</f>
        <v>Mumbai</v>
      </c>
      <c r="O323" t="str">
        <f>_xlfn.XLOOKUP(B323,Customer_Master!A:A,Customer_Master!D:D,"Not Found")</f>
        <v>Business Owner</v>
      </c>
      <c r="P323" t="str">
        <f>_xlfn.XLOOKUP(B323,Customer_Master!A:A,Customer_Master!E:E,"Not Found")</f>
        <v>High</v>
      </c>
      <c r="Q323" t="str" cm="1">
        <f t="array" ref="Q323">_xlfn.IFS(H323&lt;600,"High Risk",H323&lt;=750,"Medium Risk",TRUE,"Low Risk")</f>
        <v>High Risk</v>
      </c>
    </row>
    <row r="324" spans="1:17" x14ac:dyDescent="0.3">
      <c r="A324" t="s">
        <v>514</v>
      </c>
      <c r="B324" t="s">
        <v>438</v>
      </c>
      <c r="C324">
        <v>23</v>
      </c>
      <c r="D324">
        <v>80839</v>
      </c>
      <c r="E324">
        <v>816107</v>
      </c>
      <c r="F324">
        <v>9.44</v>
      </c>
      <c r="G324">
        <v>12</v>
      </c>
      <c r="H324">
        <v>645</v>
      </c>
      <c r="I324" t="s">
        <v>15</v>
      </c>
      <c r="J324" t="s">
        <v>16</v>
      </c>
      <c r="K324">
        <v>71536</v>
      </c>
      <c r="L324" t="s">
        <v>22</v>
      </c>
      <c r="M324" s="8">
        <v>45046</v>
      </c>
      <c r="N324" t="str">
        <f>_xlfn.XLOOKUP(B324,Customer_Master!A:A,Customer_Master!C:C,"Not Found")</f>
        <v>Mumbai</v>
      </c>
      <c r="O324" t="str">
        <f>_xlfn.XLOOKUP(B324,Customer_Master!A:A,Customer_Master!D:D,"Not Found")</f>
        <v>Salaried</v>
      </c>
      <c r="P324" t="str">
        <f>_xlfn.XLOOKUP(B324,Customer_Master!A:A,Customer_Master!E:E,"Not Found")</f>
        <v>High</v>
      </c>
      <c r="Q324" t="str" cm="1">
        <f t="array" ref="Q324">_xlfn.IFS(H324&lt;600,"High Risk",H324&lt;=750,"Medium Risk",TRUE,"Low Risk")</f>
        <v>Medium Risk</v>
      </c>
    </row>
    <row r="325" spans="1:17" x14ac:dyDescent="0.3">
      <c r="A325" t="s">
        <v>515</v>
      </c>
      <c r="B325" t="s">
        <v>276</v>
      </c>
      <c r="C325">
        <v>41</v>
      </c>
      <c r="D325">
        <v>192919</v>
      </c>
      <c r="E325">
        <v>1656110</v>
      </c>
      <c r="F325">
        <v>13.43</v>
      </c>
      <c r="G325">
        <v>36</v>
      </c>
      <c r="H325">
        <v>731</v>
      </c>
      <c r="I325" t="s">
        <v>27</v>
      </c>
      <c r="J325" t="s">
        <v>21</v>
      </c>
      <c r="K325">
        <v>56145</v>
      </c>
      <c r="L325" t="s">
        <v>22</v>
      </c>
      <c r="M325" s="8">
        <v>44600</v>
      </c>
      <c r="N325" t="str">
        <f>_xlfn.XLOOKUP(B325,Customer_Master!A:A,Customer_Master!C:C,"Not Found")</f>
        <v>Pune</v>
      </c>
      <c r="O325" t="str">
        <f>_xlfn.XLOOKUP(B325,Customer_Master!A:A,Customer_Master!D:D,"Not Found")</f>
        <v>Salaried</v>
      </c>
      <c r="P325" t="str">
        <f>_xlfn.XLOOKUP(B325,Customer_Master!A:A,Customer_Master!E:E,"Not Found")</f>
        <v>High</v>
      </c>
      <c r="Q325" t="str" cm="1">
        <f t="array" ref="Q325">_xlfn.IFS(H325&lt;600,"High Risk",H325&lt;=750,"Medium Risk",TRUE,"Low Risk")</f>
        <v>Medium Risk</v>
      </c>
    </row>
    <row r="326" spans="1:17" x14ac:dyDescent="0.3">
      <c r="A326" t="s">
        <v>516</v>
      </c>
      <c r="B326" t="s">
        <v>517</v>
      </c>
      <c r="C326">
        <v>37</v>
      </c>
      <c r="D326">
        <v>26431</v>
      </c>
      <c r="E326">
        <v>952825</v>
      </c>
      <c r="F326">
        <v>8.6999999999999993</v>
      </c>
      <c r="G326">
        <v>48</v>
      </c>
      <c r="H326">
        <v>744</v>
      </c>
      <c r="I326" t="s">
        <v>15</v>
      </c>
      <c r="J326" t="s">
        <v>39</v>
      </c>
      <c r="K326">
        <v>23576</v>
      </c>
      <c r="L326" t="s">
        <v>22</v>
      </c>
      <c r="M326" s="8">
        <v>45001</v>
      </c>
      <c r="N326" t="str">
        <f>_xlfn.XLOOKUP(B326,Customer_Master!A:A,Customer_Master!C:C,"Not Found")</f>
        <v>Delhi</v>
      </c>
      <c r="O326" t="str">
        <f>_xlfn.XLOOKUP(B326,Customer_Master!A:A,Customer_Master!D:D,"Not Found")</f>
        <v>Self-Employed</v>
      </c>
      <c r="P326" t="str">
        <f>_xlfn.XLOOKUP(B326,Customer_Master!A:A,Customer_Master!E:E,"Not Found")</f>
        <v>High</v>
      </c>
      <c r="Q326" t="str" cm="1">
        <f t="array" ref="Q326">_xlfn.IFS(H326&lt;600,"High Risk",H326&lt;=750,"Medium Risk",TRUE,"Low Risk")</f>
        <v>Medium Risk</v>
      </c>
    </row>
    <row r="327" spans="1:17" x14ac:dyDescent="0.3">
      <c r="A327" t="s">
        <v>518</v>
      </c>
      <c r="B327" t="s">
        <v>472</v>
      </c>
      <c r="C327">
        <v>28</v>
      </c>
      <c r="D327">
        <v>173925</v>
      </c>
      <c r="E327">
        <v>169039</v>
      </c>
      <c r="F327">
        <v>9.52</v>
      </c>
      <c r="G327">
        <v>120</v>
      </c>
      <c r="H327">
        <v>754</v>
      </c>
      <c r="I327" t="s">
        <v>20</v>
      </c>
      <c r="J327" t="s">
        <v>39</v>
      </c>
      <c r="K327">
        <v>2189</v>
      </c>
      <c r="L327" t="s">
        <v>17</v>
      </c>
      <c r="M327" s="8">
        <v>45106</v>
      </c>
      <c r="N327" t="str">
        <f>_xlfn.XLOOKUP(B327,Customer_Master!A:A,Customer_Master!C:C,"Not Found")</f>
        <v>Bangalore</v>
      </c>
      <c r="O327" t="str">
        <f>_xlfn.XLOOKUP(B327,Customer_Master!A:A,Customer_Master!D:D,"Not Found")</f>
        <v>Business Owner</v>
      </c>
      <c r="P327" t="str">
        <f>_xlfn.XLOOKUP(B327,Customer_Master!A:A,Customer_Master!E:E,"Not Found")</f>
        <v>Medium</v>
      </c>
      <c r="Q327" t="str" cm="1">
        <f t="array" ref="Q327">_xlfn.IFS(H327&lt;600,"High Risk",H327&lt;=750,"Medium Risk",TRUE,"Low Risk")</f>
        <v>Low Risk</v>
      </c>
    </row>
    <row r="328" spans="1:17" x14ac:dyDescent="0.3">
      <c r="A328" t="s">
        <v>519</v>
      </c>
      <c r="B328" t="s">
        <v>403</v>
      </c>
      <c r="C328">
        <v>56</v>
      </c>
      <c r="D328">
        <v>35876</v>
      </c>
      <c r="E328">
        <v>1067746</v>
      </c>
      <c r="F328">
        <v>16.260000000000002</v>
      </c>
      <c r="G328">
        <v>60</v>
      </c>
      <c r="H328">
        <v>645</v>
      </c>
      <c r="I328" t="s">
        <v>20</v>
      </c>
      <c r="J328" t="s">
        <v>39</v>
      </c>
      <c r="K328">
        <v>26113</v>
      </c>
      <c r="L328" t="s">
        <v>22</v>
      </c>
      <c r="M328" s="8">
        <v>45218</v>
      </c>
      <c r="N328" t="str">
        <f>_xlfn.XLOOKUP(B328,Customer_Master!A:A,Customer_Master!C:C,"Not Found")</f>
        <v>Pune</v>
      </c>
      <c r="O328" t="str">
        <f>_xlfn.XLOOKUP(B328,Customer_Master!A:A,Customer_Master!D:D,"Not Found")</f>
        <v>Business Owner</v>
      </c>
      <c r="P328" t="str">
        <f>_xlfn.XLOOKUP(B328,Customer_Master!A:A,Customer_Master!E:E,"Not Found")</f>
        <v>High</v>
      </c>
      <c r="Q328" t="str" cm="1">
        <f t="array" ref="Q328">_xlfn.IFS(H328&lt;600,"High Risk",H328&lt;=750,"Medium Risk",TRUE,"Low Risk")</f>
        <v>Medium Risk</v>
      </c>
    </row>
    <row r="329" spans="1:17" x14ac:dyDescent="0.3">
      <c r="A329" t="s">
        <v>520</v>
      </c>
      <c r="B329" t="s">
        <v>436</v>
      </c>
      <c r="C329">
        <v>52</v>
      </c>
      <c r="D329">
        <v>58547</v>
      </c>
      <c r="E329">
        <v>1070034</v>
      </c>
      <c r="F329">
        <v>13.17</v>
      </c>
      <c r="G329">
        <v>60</v>
      </c>
      <c r="H329">
        <v>637</v>
      </c>
      <c r="I329" t="s">
        <v>15</v>
      </c>
      <c r="J329" t="s">
        <v>21</v>
      </c>
      <c r="K329">
        <v>24440</v>
      </c>
      <c r="L329" t="s">
        <v>22</v>
      </c>
      <c r="M329" s="8">
        <v>44933</v>
      </c>
      <c r="N329" t="str">
        <f>_xlfn.XLOOKUP(B329,Customer_Master!A:A,Customer_Master!C:C,"Not Found")</f>
        <v>Bangalore</v>
      </c>
      <c r="O329" t="str">
        <f>_xlfn.XLOOKUP(B329,Customer_Master!A:A,Customer_Master!D:D,"Not Found")</f>
        <v>Salaried</v>
      </c>
      <c r="P329" t="str">
        <f>_xlfn.XLOOKUP(B329,Customer_Master!A:A,Customer_Master!E:E,"Not Found")</f>
        <v>Low</v>
      </c>
      <c r="Q329" t="str" cm="1">
        <f t="array" ref="Q329">_xlfn.IFS(H329&lt;600,"High Risk",H329&lt;=750,"Medium Risk",TRUE,"Low Risk")</f>
        <v>Medium Risk</v>
      </c>
    </row>
    <row r="330" spans="1:17" x14ac:dyDescent="0.3">
      <c r="A330" t="s">
        <v>521</v>
      </c>
      <c r="B330" t="s">
        <v>112</v>
      </c>
      <c r="C330">
        <v>44</v>
      </c>
      <c r="D330">
        <v>128421</v>
      </c>
      <c r="E330">
        <v>1236138</v>
      </c>
      <c r="F330">
        <v>15.5</v>
      </c>
      <c r="G330">
        <v>48</v>
      </c>
      <c r="H330">
        <v>682</v>
      </c>
      <c r="I330" t="s">
        <v>27</v>
      </c>
      <c r="J330" t="s">
        <v>28</v>
      </c>
      <c r="K330">
        <v>34717</v>
      </c>
      <c r="L330" t="s">
        <v>22</v>
      </c>
      <c r="M330" s="8">
        <v>45456</v>
      </c>
      <c r="N330" t="str">
        <f>_xlfn.XLOOKUP(B330,Customer_Master!A:A,Customer_Master!C:C,"Not Found")</f>
        <v>Mumbai</v>
      </c>
      <c r="O330" t="str">
        <f>_xlfn.XLOOKUP(B330,Customer_Master!A:A,Customer_Master!D:D,"Not Found")</f>
        <v>Salaried</v>
      </c>
      <c r="P330" t="str">
        <f>_xlfn.XLOOKUP(B330,Customer_Master!A:A,Customer_Master!E:E,"Not Found")</f>
        <v>High</v>
      </c>
      <c r="Q330" t="str" cm="1">
        <f t="array" ref="Q330">_xlfn.IFS(H330&lt;600,"High Risk",H330&lt;=750,"Medium Risk",TRUE,"Low Risk")</f>
        <v>Medium Risk</v>
      </c>
    </row>
    <row r="331" spans="1:17" x14ac:dyDescent="0.3">
      <c r="A331" t="s">
        <v>522</v>
      </c>
      <c r="B331" t="s">
        <v>59</v>
      </c>
      <c r="C331">
        <v>23</v>
      </c>
      <c r="D331">
        <v>171133</v>
      </c>
      <c r="E331">
        <v>1246912</v>
      </c>
      <c r="F331">
        <v>14.09</v>
      </c>
      <c r="G331">
        <v>36</v>
      </c>
      <c r="H331">
        <v>478</v>
      </c>
      <c r="I331" t="s">
        <v>15</v>
      </c>
      <c r="J331" t="s">
        <v>28</v>
      </c>
      <c r="K331">
        <v>42671</v>
      </c>
      <c r="L331" t="s">
        <v>22</v>
      </c>
      <c r="M331" s="8">
        <v>44978</v>
      </c>
      <c r="N331" t="str">
        <f>_xlfn.XLOOKUP(B331,Customer_Master!A:A,Customer_Master!C:C,"Not Found")</f>
        <v>Pune</v>
      </c>
      <c r="O331" t="str">
        <f>_xlfn.XLOOKUP(B331,Customer_Master!A:A,Customer_Master!D:D,"Not Found")</f>
        <v>Self-Employed</v>
      </c>
      <c r="P331" t="str">
        <f>_xlfn.XLOOKUP(B331,Customer_Master!A:A,Customer_Master!E:E,"Not Found")</f>
        <v>Low</v>
      </c>
      <c r="Q331" t="str" cm="1">
        <f t="array" ref="Q331">_xlfn.IFS(H331&lt;600,"High Risk",H331&lt;=750,"Medium Risk",TRUE,"Low Risk")</f>
        <v>High Risk</v>
      </c>
    </row>
    <row r="332" spans="1:17" x14ac:dyDescent="0.3">
      <c r="A332" t="s">
        <v>523</v>
      </c>
      <c r="B332" t="s">
        <v>455</v>
      </c>
      <c r="C332">
        <v>36</v>
      </c>
      <c r="D332">
        <v>185377</v>
      </c>
      <c r="E332">
        <v>1054162</v>
      </c>
      <c r="F332">
        <v>13.57</v>
      </c>
      <c r="G332">
        <v>12</v>
      </c>
      <c r="H332">
        <v>572</v>
      </c>
      <c r="I332" t="s">
        <v>20</v>
      </c>
      <c r="J332" t="s">
        <v>28</v>
      </c>
      <c r="K332">
        <v>94437</v>
      </c>
      <c r="L332" t="s">
        <v>17</v>
      </c>
      <c r="M332" s="8">
        <v>45516</v>
      </c>
      <c r="N332" t="str">
        <f>_xlfn.XLOOKUP(B332,Customer_Master!A:A,Customer_Master!C:C,"Not Found")</f>
        <v>Delhi</v>
      </c>
      <c r="O332" t="str">
        <f>_xlfn.XLOOKUP(B332,Customer_Master!A:A,Customer_Master!D:D,"Not Found")</f>
        <v>Business Owner</v>
      </c>
      <c r="P332" t="str">
        <f>_xlfn.XLOOKUP(B332,Customer_Master!A:A,Customer_Master!E:E,"Not Found")</f>
        <v>High</v>
      </c>
      <c r="Q332" t="str" cm="1">
        <f t="array" ref="Q332">_xlfn.IFS(H332&lt;600,"High Risk",H332&lt;=750,"Medium Risk",TRUE,"Low Risk")</f>
        <v>High Risk</v>
      </c>
    </row>
    <row r="333" spans="1:17" x14ac:dyDescent="0.3">
      <c r="A333" t="s">
        <v>524</v>
      </c>
      <c r="B333" t="s">
        <v>525</v>
      </c>
      <c r="C333">
        <v>45</v>
      </c>
      <c r="D333">
        <v>195743</v>
      </c>
      <c r="E333">
        <v>829249</v>
      </c>
      <c r="F333">
        <v>8.9700000000000006</v>
      </c>
      <c r="G333">
        <v>120</v>
      </c>
      <c r="H333">
        <v>543</v>
      </c>
      <c r="I333" t="s">
        <v>31</v>
      </c>
      <c r="J333" t="s">
        <v>16</v>
      </c>
      <c r="K333">
        <v>10491</v>
      </c>
      <c r="L333" t="s">
        <v>34</v>
      </c>
      <c r="M333" s="8">
        <v>44668</v>
      </c>
      <c r="N333" t="str">
        <f>_xlfn.XLOOKUP(B333,Customer_Master!A:A,Customer_Master!C:C,"Not Found")</f>
        <v>Hyderabad</v>
      </c>
      <c r="O333" t="str">
        <f>_xlfn.XLOOKUP(B333,Customer_Master!A:A,Customer_Master!D:D,"Not Found")</f>
        <v>Business Owner</v>
      </c>
      <c r="P333" t="str">
        <f>_xlfn.XLOOKUP(B333,Customer_Master!A:A,Customer_Master!E:E,"Not Found")</f>
        <v>Medium</v>
      </c>
      <c r="Q333" t="str" cm="1">
        <f t="array" ref="Q333">_xlfn.IFS(H333&lt;600,"High Risk",H333&lt;=750,"Medium Risk",TRUE,"Low Risk")</f>
        <v>High Risk</v>
      </c>
    </row>
    <row r="334" spans="1:17" x14ac:dyDescent="0.3">
      <c r="A334" t="s">
        <v>526</v>
      </c>
      <c r="B334" t="s">
        <v>185</v>
      </c>
      <c r="C334">
        <v>45</v>
      </c>
      <c r="D334">
        <v>156547</v>
      </c>
      <c r="E334">
        <v>1168171</v>
      </c>
      <c r="F334">
        <v>10.76</v>
      </c>
      <c r="G334">
        <v>24</v>
      </c>
      <c r="H334">
        <v>735</v>
      </c>
      <c r="I334" t="s">
        <v>27</v>
      </c>
      <c r="J334" t="s">
        <v>28</v>
      </c>
      <c r="K334">
        <v>54316</v>
      </c>
      <c r="L334" t="s">
        <v>17</v>
      </c>
      <c r="M334" s="8">
        <v>44669</v>
      </c>
      <c r="N334" t="str">
        <f>_xlfn.XLOOKUP(B334,Customer_Master!A:A,Customer_Master!C:C,"Not Found")</f>
        <v>Chennai</v>
      </c>
      <c r="O334" t="str">
        <f>_xlfn.XLOOKUP(B334,Customer_Master!A:A,Customer_Master!D:D,"Not Found")</f>
        <v>Self-Employed</v>
      </c>
      <c r="P334" t="str">
        <f>_xlfn.XLOOKUP(B334,Customer_Master!A:A,Customer_Master!E:E,"Not Found")</f>
        <v>Medium</v>
      </c>
      <c r="Q334" t="str" cm="1">
        <f t="array" ref="Q334">_xlfn.IFS(H334&lt;600,"High Risk",H334&lt;=750,"Medium Risk",TRUE,"Low Risk")</f>
        <v>Medium Risk</v>
      </c>
    </row>
    <row r="335" spans="1:17" x14ac:dyDescent="0.3">
      <c r="A335" t="s">
        <v>527</v>
      </c>
      <c r="B335" t="s">
        <v>236</v>
      </c>
      <c r="C335">
        <v>23</v>
      </c>
      <c r="D335">
        <v>80552</v>
      </c>
      <c r="E335">
        <v>663394</v>
      </c>
      <c r="F335">
        <v>14</v>
      </c>
      <c r="G335">
        <v>180</v>
      </c>
      <c r="H335">
        <v>784</v>
      </c>
      <c r="I335" t="s">
        <v>15</v>
      </c>
      <c r="J335" t="s">
        <v>21</v>
      </c>
      <c r="K335">
        <v>8835</v>
      </c>
      <c r="L335" t="s">
        <v>22</v>
      </c>
      <c r="M335" s="8">
        <v>45494</v>
      </c>
      <c r="N335" t="str">
        <f>_xlfn.XLOOKUP(B335,Customer_Master!A:A,Customer_Master!C:C,"Not Found")</f>
        <v>Bangalore</v>
      </c>
      <c r="O335" t="str">
        <f>_xlfn.XLOOKUP(B335,Customer_Master!A:A,Customer_Master!D:D,"Not Found")</f>
        <v>Business Owner</v>
      </c>
      <c r="P335" t="str">
        <f>_xlfn.XLOOKUP(B335,Customer_Master!A:A,Customer_Master!E:E,"Not Found")</f>
        <v>High</v>
      </c>
      <c r="Q335" t="str" cm="1">
        <f t="array" ref="Q335">_xlfn.IFS(H335&lt;600,"High Risk",H335&lt;=750,"Medium Risk",TRUE,"Low Risk")</f>
        <v>Low Risk</v>
      </c>
    </row>
    <row r="336" spans="1:17" x14ac:dyDescent="0.3">
      <c r="A336" t="s">
        <v>528</v>
      </c>
      <c r="B336" t="s">
        <v>224</v>
      </c>
      <c r="C336">
        <v>51</v>
      </c>
      <c r="D336">
        <v>173823</v>
      </c>
      <c r="E336">
        <v>660147</v>
      </c>
      <c r="F336">
        <v>13.79</v>
      </c>
      <c r="G336">
        <v>36</v>
      </c>
      <c r="H336">
        <v>640</v>
      </c>
      <c r="I336" t="s">
        <v>27</v>
      </c>
      <c r="J336" t="s">
        <v>28</v>
      </c>
      <c r="K336">
        <v>22495</v>
      </c>
      <c r="L336" t="s">
        <v>17</v>
      </c>
      <c r="M336" s="8">
        <v>45555</v>
      </c>
      <c r="N336" t="str">
        <f>_xlfn.XLOOKUP(B336,Customer_Master!A:A,Customer_Master!C:C,"Not Found")</f>
        <v>Hyderabad</v>
      </c>
      <c r="O336" t="str">
        <f>_xlfn.XLOOKUP(B336,Customer_Master!A:A,Customer_Master!D:D,"Not Found")</f>
        <v>Business Owner</v>
      </c>
      <c r="P336" t="str">
        <f>_xlfn.XLOOKUP(B336,Customer_Master!A:A,Customer_Master!E:E,"Not Found")</f>
        <v>Low</v>
      </c>
      <c r="Q336" t="str" cm="1">
        <f t="array" ref="Q336">_xlfn.IFS(H336&lt;600,"High Risk",H336&lt;=750,"Medium Risk",TRUE,"Low Risk")</f>
        <v>Medium Risk</v>
      </c>
    </row>
    <row r="337" spans="1:17" x14ac:dyDescent="0.3">
      <c r="A337" t="s">
        <v>529</v>
      </c>
      <c r="B337" t="s">
        <v>451</v>
      </c>
      <c r="C337">
        <v>32</v>
      </c>
      <c r="D337">
        <v>184078</v>
      </c>
      <c r="E337">
        <v>1536928</v>
      </c>
      <c r="F337">
        <v>10.79</v>
      </c>
      <c r="G337">
        <v>60</v>
      </c>
      <c r="H337">
        <v>569</v>
      </c>
      <c r="I337" t="s">
        <v>27</v>
      </c>
      <c r="J337" t="s">
        <v>16</v>
      </c>
      <c r="K337">
        <v>33256</v>
      </c>
      <c r="L337" t="s">
        <v>34</v>
      </c>
      <c r="M337" s="8">
        <v>44584</v>
      </c>
      <c r="N337" t="str">
        <f>_xlfn.XLOOKUP(B337,Customer_Master!A:A,Customer_Master!C:C,"Not Found")</f>
        <v>Delhi</v>
      </c>
      <c r="O337" t="str">
        <f>_xlfn.XLOOKUP(B337,Customer_Master!A:A,Customer_Master!D:D,"Not Found")</f>
        <v>Self-Employed</v>
      </c>
      <c r="P337" t="str">
        <f>_xlfn.XLOOKUP(B337,Customer_Master!A:A,Customer_Master!E:E,"Not Found")</f>
        <v>Medium</v>
      </c>
      <c r="Q337" t="str" cm="1">
        <f t="array" ref="Q337">_xlfn.IFS(H337&lt;600,"High Risk",H337&lt;=750,"Medium Risk",TRUE,"Low Risk")</f>
        <v>High Risk</v>
      </c>
    </row>
    <row r="338" spans="1:17" x14ac:dyDescent="0.3">
      <c r="A338" t="s">
        <v>530</v>
      </c>
      <c r="B338" t="s">
        <v>63</v>
      </c>
      <c r="C338">
        <v>58</v>
      </c>
      <c r="D338">
        <v>131773</v>
      </c>
      <c r="E338">
        <v>916478</v>
      </c>
      <c r="F338">
        <v>15.87</v>
      </c>
      <c r="G338">
        <v>180</v>
      </c>
      <c r="H338">
        <v>754</v>
      </c>
      <c r="I338" t="s">
        <v>15</v>
      </c>
      <c r="J338" t="s">
        <v>28</v>
      </c>
      <c r="K338">
        <v>13377</v>
      </c>
      <c r="L338" t="s">
        <v>17</v>
      </c>
      <c r="M338" s="8">
        <v>44606</v>
      </c>
      <c r="N338" t="str">
        <f>_xlfn.XLOOKUP(B338,Customer_Master!A:A,Customer_Master!C:C,"Not Found")</f>
        <v>Mumbai</v>
      </c>
      <c r="O338" t="str">
        <f>_xlfn.XLOOKUP(B338,Customer_Master!A:A,Customer_Master!D:D,"Not Found")</f>
        <v>Business Owner</v>
      </c>
      <c r="P338" t="str">
        <f>_xlfn.XLOOKUP(B338,Customer_Master!A:A,Customer_Master!E:E,"Not Found")</f>
        <v>Medium</v>
      </c>
      <c r="Q338" t="str" cm="1">
        <f t="array" ref="Q338">_xlfn.IFS(H338&lt;600,"High Risk",H338&lt;=750,"Medium Risk",TRUE,"Low Risk")</f>
        <v>Low Risk</v>
      </c>
    </row>
    <row r="339" spans="1:17" x14ac:dyDescent="0.3">
      <c r="A339" t="s">
        <v>531</v>
      </c>
      <c r="B339" t="s">
        <v>176</v>
      </c>
      <c r="C339">
        <v>27</v>
      </c>
      <c r="D339">
        <v>146820</v>
      </c>
      <c r="E339">
        <v>469136</v>
      </c>
      <c r="F339">
        <v>11.25</v>
      </c>
      <c r="G339">
        <v>12</v>
      </c>
      <c r="H339">
        <v>802</v>
      </c>
      <c r="I339" t="s">
        <v>27</v>
      </c>
      <c r="J339" t="s">
        <v>16</v>
      </c>
      <c r="K339">
        <v>41518</v>
      </c>
      <c r="L339" t="s">
        <v>22</v>
      </c>
      <c r="M339" s="8">
        <v>45540</v>
      </c>
      <c r="N339" t="str">
        <f>_xlfn.XLOOKUP(B339,Customer_Master!A:A,Customer_Master!C:C,"Not Found")</f>
        <v>Chennai</v>
      </c>
      <c r="O339" t="str">
        <f>_xlfn.XLOOKUP(B339,Customer_Master!A:A,Customer_Master!D:D,"Not Found")</f>
        <v>Self-Employed</v>
      </c>
      <c r="P339" t="str">
        <f>_xlfn.XLOOKUP(B339,Customer_Master!A:A,Customer_Master!E:E,"Not Found")</f>
        <v>High</v>
      </c>
      <c r="Q339" t="str" cm="1">
        <f t="array" ref="Q339">_xlfn.IFS(H339&lt;600,"High Risk",H339&lt;=750,"Medium Risk",TRUE,"Low Risk")</f>
        <v>Low Risk</v>
      </c>
    </row>
    <row r="340" spans="1:17" x14ac:dyDescent="0.3">
      <c r="A340" t="s">
        <v>532</v>
      </c>
      <c r="B340" t="s">
        <v>403</v>
      </c>
      <c r="C340">
        <v>43</v>
      </c>
      <c r="D340">
        <v>37279</v>
      </c>
      <c r="E340">
        <v>118762</v>
      </c>
      <c r="F340">
        <v>13.86</v>
      </c>
      <c r="G340">
        <v>120</v>
      </c>
      <c r="H340">
        <v>756</v>
      </c>
      <c r="I340" t="s">
        <v>20</v>
      </c>
      <c r="J340" t="s">
        <v>16</v>
      </c>
      <c r="K340">
        <v>1834</v>
      </c>
      <c r="L340" t="s">
        <v>22</v>
      </c>
      <c r="M340" s="8">
        <v>44757</v>
      </c>
      <c r="N340" t="str">
        <f>_xlfn.XLOOKUP(B340,Customer_Master!A:A,Customer_Master!C:C,"Not Found")</f>
        <v>Pune</v>
      </c>
      <c r="O340" t="str">
        <f>_xlfn.XLOOKUP(B340,Customer_Master!A:A,Customer_Master!D:D,"Not Found")</f>
        <v>Business Owner</v>
      </c>
      <c r="P340" t="str">
        <f>_xlfn.XLOOKUP(B340,Customer_Master!A:A,Customer_Master!E:E,"Not Found")</f>
        <v>High</v>
      </c>
      <c r="Q340" t="str" cm="1">
        <f t="array" ref="Q340">_xlfn.IFS(H340&lt;600,"High Risk",H340&lt;=750,"Medium Risk",TRUE,"Low Risk")</f>
        <v>Low Risk</v>
      </c>
    </row>
    <row r="341" spans="1:17" x14ac:dyDescent="0.3">
      <c r="A341" t="s">
        <v>533</v>
      </c>
      <c r="B341" t="s">
        <v>33</v>
      </c>
      <c r="C341">
        <v>54</v>
      </c>
      <c r="D341">
        <v>70920</v>
      </c>
      <c r="E341">
        <v>1533840</v>
      </c>
      <c r="F341">
        <v>11.5</v>
      </c>
      <c r="G341">
        <v>240</v>
      </c>
      <c r="H341">
        <v>512</v>
      </c>
      <c r="I341" t="s">
        <v>15</v>
      </c>
      <c r="J341" t="s">
        <v>16</v>
      </c>
      <c r="K341">
        <v>16357</v>
      </c>
      <c r="L341" t="s">
        <v>17</v>
      </c>
      <c r="M341" s="8">
        <v>45135</v>
      </c>
      <c r="N341" t="str">
        <f>_xlfn.XLOOKUP(B341,Customer_Master!A:A,Customer_Master!C:C,"Not Found")</f>
        <v>Bangalore</v>
      </c>
      <c r="O341" t="str">
        <f>_xlfn.XLOOKUP(B341,Customer_Master!A:A,Customer_Master!D:D,"Not Found")</f>
        <v>Salaried</v>
      </c>
      <c r="P341" t="str">
        <f>_xlfn.XLOOKUP(B341,Customer_Master!A:A,Customer_Master!E:E,"Not Found")</f>
        <v>Medium</v>
      </c>
      <c r="Q341" t="str" cm="1">
        <f t="array" ref="Q341">_xlfn.IFS(H341&lt;600,"High Risk",H341&lt;=750,"Medium Risk",TRUE,"Low Risk")</f>
        <v>High Risk</v>
      </c>
    </row>
    <row r="342" spans="1:17" x14ac:dyDescent="0.3">
      <c r="A342" t="s">
        <v>534</v>
      </c>
      <c r="B342" t="s">
        <v>182</v>
      </c>
      <c r="C342">
        <v>25</v>
      </c>
      <c r="D342">
        <v>100184</v>
      </c>
      <c r="E342">
        <v>1832603</v>
      </c>
      <c r="F342">
        <v>10.17</v>
      </c>
      <c r="G342">
        <v>60</v>
      </c>
      <c r="H342">
        <v>669</v>
      </c>
      <c r="I342" t="s">
        <v>20</v>
      </c>
      <c r="J342" t="s">
        <v>16</v>
      </c>
      <c r="K342">
        <v>39091</v>
      </c>
      <c r="L342" t="s">
        <v>22</v>
      </c>
      <c r="M342" s="8">
        <v>44918</v>
      </c>
      <c r="N342" t="str">
        <f>_xlfn.XLOOKUP(B342,Customer_Master!A:A,Customer_Master!C:C,"Not Found")</f>
        <v>Mumbai</v>
      </c>
      <c r="O342" t="str">
        <f>_xlfn.XLOOKUP(B342,Customer_Master!A:A,Customer_Master!D:D,"Not Found")</f>
        <v>Business Owner</v>
      </c>
      <c r="P342" t="str">
        <f>_xlfn.XLOOKUP(B342,Customer_Master!A:A,Customer_Master!E:E,"Not Found")</f>
        <v>High</v>
      </c>
      <c r="Q342" t="str" cm="1">
        <f t="array" ref="Q342">_xlfn.IFS(H342&lt;600,"High Risk",H342&lt;=750,"Medium Risk",TRUE,"Low Risk")</f>
        <v>Medium Risk</v>
      </c>
    </row>
    <row r="343" spans="1:17" x14ac:dyDescent="0.3">
      <c r="A343" t="s">
        <v>535</v>
      </c>
      <c r="B343" t="s">
        <v>403</v>
      </c>
      <c r="C343">
        <v>51</v>
      </c>
      <c r="D343">
        <v>112760</v>
      </c>
      <c r="E343">
        <v>1574259</v>
      </c>
      <c r="F343">
        <v>15.93</v>
      </c>
      <c r="G343">
        <v>60</v>
      </c>
      <c r="H343">
        <v>566</v>
      </c>
      <c r="I343" t="s">
        <v>20</v>
      </c>
      <c r="J343" t="s">
        <v>16</v>
      </c>
      <c r="K343">
        <v>38224</v>
      </c>
      <c r="L343" t="s">
        <v>34</v>
      </c>
      <c r="M343" s="8">
        <v>45140</v>
      </c>
      <c r="N343" t="str">
        <f>_xlfn.XLOOKUP(B343,Customer_Master!A:A,Customer_Master!C:C,"Not Found")</f>
        <v>Pune</v>
      </c>
      <c r="O343" t="str">
        <f>_xlfn.XLOOKUP(B343,Customer_Master!A:A,Customer_Master!D:D,"Not Found")</f>
        <v>Business Owner</v>
      </c>
      <c r="P343" t="str">
        <f>_xlfn.XLOOKUP(B343,Customer_Master!A:A,Customer_Master!E:E,"Not Found")</f>
        <v>High</v>
      </c>
      <c r="Q343" t="str" cm="1">
        <f t="array" ref="Q343">_xlfn.IFS(H343&lt;600,"High Risk",H343&lt;=750,"Medium Risk",TRUE,"Low Risk")</f>
        <v>High Risk</v>
      </c>
    </row>
    <row r="344" spans="1:17" x14ac:dyDescent="0.3">
      <c r="A344" t="s">
        <v>536</v>
      </c>
      <c r="B344" t="s">
        <v>328</v>
      </c>
      <c r="C344">
        <v>51</v>
      </c>
      <c r="D344">
        <v>132147</v>
      </c>
      <c r="E344">
        <v>521135</v>
      </c>
      <c r="F344">
        <v>13.36</v>
      </c>
      <c r="G344">
        <v>120</v>
      </c>
      <c r="H344">
        <v>655</v>
      </c>
      <c r="I344" t="s">
        <v>20</v>
      </c>
      <c r="J344" t="s">
        <v>16</v>
      </c>
      <c r="K344">
        <v>7892</v>
      </c>
      <c r="L344" t="s">
        <v>22</v>
      </c>
      <c r="M344" s="8">
        <v>45351</v>
      </c>
      <c r="N344" t="str">
        <f>_xlfn.XLOOKUP(B344,Customer_Master!A:A,Customer_Master!C:C,"Not Found")</f>
        <v>Bangalore</v>
      </c>
      <c r="O344" t="str">
        <f>_xlfn.XLOOKUP(B344,Customer_Master!A:A,Customer_Master!D:D,"Not Found")</f>
        <v>Self-Employed</v>
      </c>
      <c r="P344" t="str">
        <f>_xlfn.XLOOKUP(B344,Customer_Master!A:A,Customer_Master!E:E,"Not Found")</f>
        <v>Low</v>
      </c>
      <c r="Q344" t="str" cm="1">
        <f t="array" ref="Q344">_xlfn.IFS(H344&lt;600,"High Risk",H344&lt;=750,"Medium Risk",TRUE,"Low Risk")</f>
        <v>Medium Risk</v>
      </c>
    </row>
    <row r="345" spans="1:17" x14ac:dyDescent="0.3">
      <c r="A345" t="s">
        <v>537</v>
      </c>
      <c r="B345" t="s">
        <v>538</v>
      </c>
      <c r="C345">
        <v>23</v>
      </c>
      <c r="D345">
        <v>149518</v>
      </c>
      <c r="E345">
        <v>727103</v>
      </c>
      <c r="F345">
        <v>14.31</v>
      </c>
      <c r="G345">
        <v>180</v>
      </c>
      <c r="H345">
        <v>581</v>
      </c>
      <c r="I345" t="s">
        <v>20</v>
      </c>
      <c r="J345" t="s">
        <v>16</v>
      </c>
      <c r="K345">
        <v>9835</v>
      </c>
      <c r="L345" t="s">
        <v>17</v>
      </c>
      <c r="M345" s="8">
        <v>44971</v>
      </c>
      <c r="N345" t="str">
        <f>_xlfn.XLOOKUP(B345,Customer_Master!A:A,Customer_Master!C:C,"Not Found")</f>
        <v>Bangalore</v>
      </c>
      <c r="O345" t="str">
        <f>_xlfn.XLOOKUP(B345,Customer_Master!A:A,Customer_Master!D:D,"Not Found")</f>
        <v>Self-Employed</v>
      </c>
      <c r="P345" t="str">
        <f>_xlfn.XLOOKUP(B345,Customer_Master!A:A,Customer_Master!E:E,"Not Found")</f>
        <v>Medium</v>
      </c>
      <c r="Q345" t="str" cm="1">
        <f t="array" ref="Q345">_xlfn.IFS(H345&lt;600,"High Risk",H345&lt;=750,"Medium Risk",TRUE,"Low Risk")</f>
        <v>High Risk</v>
      </c>
    </row>
    <row r="346" spans="1:17" x14ac:dyDescent="0.3">
      <c r="A346" t="s">
        <v>539</v>
      </c>
      <c r="B346" t="s">
        <v>540</v>
      </c>
      <c r="C346">
        <v>30</v>
      </c>
      <c r="D346">
        <v>179326</v>
      </c>
      <c r="E346">
        <v>527394</v>
      </c>
      <c r="F346">
        <v>14.2</v>
      </c>
      <c r="G346">
        <v>12</v>
      </c>
      <c r="H346">
        <v>572</v>
      </c>
      <c r="I346" t="s">
        <v>15</v>
      </c>
      <c r="J346" t="s">
        <v>28</v>
      </c>
      <c r="K346">
        <v>47403</v>
      </c>
      <c r="L346" t="s">
        <v>34</v>
      </c>
      <c r="M346" s="8">
        <v>45040</v>
      </c>
      <c r="N346" t="str">
        <f>_xlfn.XLOOKUP(B346,Customer_Master!A:A,Customer_Master!C:C,"Not Found")</f>
        <v>Chennai</v>
      </c>
      <c r="O346" t="str">
        <f>_xlfn.XLOOKUP(B346,Customer_Master!A:A,Customer_Master!D:D,"Not Found")</f>
        <v>Salaried</v>
      </c>
      <c r="P346" t="str">
        <f>_xlfn.XLOOKUP(B346,Customer_Master!A:A,Customer_Master!E:E,"Not Found")</f>
        <v>Medium</v>
      </c>
      <c r="Q346" t="str" cm="1">
        <f t="array" ref="Q346">_xlfn.IFS(H346&lt;600,"High Risk",H346&lt;=750,"Medium Risk",TRUE,"Low Risk")</f>
        <v>High Risk</v>
      </c>
    </row>
    <row r="347" spans="1:17" x14ac:dyDescent="0.3">
      <c r="A347" t="s">
        <v>541</v>
      </c>
      <c r="B347" t="s">
        <v>542</v>
      </c>
      <c r="C347">
        <v>59</v>
      </c>
      <c r="D347">
        <v>173637</v>
      </c>
      <c r="E347">
        <v>664080</v>
      </c>
      <c r="F347">
        <v>14.64</v>
      </c>
      <c r="G347">
        <v>60</v>
      </c>
      <c r="H347">
        <v>640</v>
      </c>
      <c r="I347" t="s">
        <v>15</v>
      </c>
      <c r="J347" t="s">
        <v>39</v>
      </c>
      <c r="K347">
        <v>15673</v>
      </c>
      <c r="L347" t="s">
        <v>17</v>
      </c>
      <c r="M347" s="8">
        <v>45505</v>
      </c>
      <c r="N347" t="str">
        <f>_xlfn.XLOOKUP(B347,Customer_Master!A:A,Customer_Master!C:C,"Not Found")</f>
        <v>Hyderabad</v>
      </c>
      <c r="O347" t="str">
        <f>_xlfn.XLOOKUP(B347,Customer_Master!A:A,Customer_Master!D:D,"Not Found")</f>
        <v>Business Owner</v>
      </c>
      <c r="P347" t="str">
        <f>_xlfn.XLOOKUP(B347,Customer_Master!A:A,Customer_Master!E:E,"Not Found")</f>
        <v>High</v>
      </c>
      <c r="Q347" t="str" cm="1">
        <f t="array" ref="Q347">_xlfn.IFS(H347&lt;600,"High Risk",H347&lt;=750,"Medium Risk",TRUE,"Low Risk")</f>
        <v>Medium Risk</v>
      </c>
    </row>
    <row r="348" spans="1:17" x14ac:dyDescent="0.3">
      <c r="A348" t="s">
        <v>543</v>
      </c>
      <c r="B348" t="s">
        <v>451</v>
      </c>
      <c r="C348">
        <v>31</v>
      </c>
      <c r="D348">
        <v>186275</v>
      </c>
      <c r="E348">
        <v>665281</v>
      </c>
      <c r="F348">
        <v>9.2200000000000006</v>
      </c>
      <c r="G348">
        <v>180</v>
      </c>
      <c r="H348">
        <v>786</v>
      </c>
      <c r="I348" t="s">
        <v>20</v>
      </c>
      <c r="J348" t="s">
        <v>16</v>
      </c>
      <c r="K348">
        <v>6835</v>
      </c>
      <c r="L348" t="s">
        <v>22</v>
      </c>
      <c r="M348" s="8">
        <v>44565</v>
      </c>
      <c r="N348" t="str">
        <f>_xlfn.XLOOKUP(B348,Customer_Master!A:A,Customer_Master!C:C,"Not Found")</f>
        <v>Delhi</v>
      </c>
      <c r="O348" t="str">
        <f>_xlfn.XLOOKUP(B348,Customer_Master!A:A,Customer_Master!D:D,"Not Found")</f>
        <v>Self-Employed</v>
      </c>
      <c r="P348" t="str">
        <f>_xlfn.XLOOKUP(B348,Customer_Master!A:A,Customer_Master!E:E,"Not Found")</f>
        <v>Medium</v>
      </c>
      <c r="Q348" t="str" cm="1">
        <f t="array" ref="Q348">_xlfn.IFS(H348&lt;600,"High Risk",H348&lt;=750,"Medium Risk",TRUE,"Low Risk")</f>
        <v>Low Risk</v>
      </c>
    </row>
    <row r="349" spans="1:17" x14ac:dyDescent="0.3">
      <c r="A349" t="s">
        <v>544</v>
      </c>
      <c r="B349" t="s">
        <v>30</v>
      </c>
      <c r="C349">
        <v>34</v>
      </c>
      <c r="D349">
        <v>46378</v>
      </c>
      <c r="E349">
        <v>1117705</v>
      </c>
      <c r="F349">
        <v>7.69</v>
      </c>
      <c r="G349">
        <v>180</v>
      </c>
      <c r="H349">
        <v>473</v>
      </c>
      <c r="I349" t="s">
        <v>20</v>
      </c>
      <c r="J349" t="s">
        <v>21</v>
      </c>
      <c r="K349">
        <v>10482</v>
      </c>
      <c r="L349" t="s">
        <v>34</v>
      </c>
      <c r="M349" s="8">
        <v>44897</v>
      </c>
      <c r="N349" t="str">
        <f>_xlfn.XLOOKUP(B349,Customer_Master!A:A,Customer_Master!C:C,"Not Found")</f>
        <v>Delhi</v>
      </c>
      <c r="O349" t="str">
        <f>_xlfn.XLOOKUP(B349,Customer_Master!A:A,Customer_Master!D:D,"Not Found")</f>
        <v>Business Owner</v>
      </c>
      <c r="P349" t="str">
        <f>_xlfn.XLOOKUP(B349,Customer_Master!A:A,Customer_Master!E:E,"Not Found")</f>
        <v>High</v>
      </c>
      <c r="Q349" t="str" cm="1">
        <f t="array" ref="Q349">_xlfn.IFS(H349&lt;600,"High Risk",H349&lt;=750,"Medium Risk",TRUE,"Low Risk")</f>
        <v>High Risk</v>
      </c>
    </row>
    <row r="350" spans="1:17" x14ac:dyDescent="0.3">
      <c r="A350" t="s">
        <v>545</v>
      </c>
      <c r="B350" t="s">
        <v>269</v>
      </c>
      <c r="C350">
        <v>25</v>
      </c>
      <c r="D350">
        <v>176340</v>
      </c>
      <c r="E350">
        <v>843268</v>
      </c>
      <c r="F350">
        <v>9.36</v>
      </c>
      <c r="G350">
        <v>240</v>
      </c>
      <c r="H350">
        <v>777</v>
      </c>
      <c r="I350" t="s">
        <v>31</v>
      </c>
      <c r="J350" t="s">
        <v>16</v>
      </c>
      <c r="K350">
        <v>7783</v>
      </c>
      <c r="L350" t="s">
        <v>22</v>
      </c>
      <c r="M350" s="8">
        <v>44930</v>
      </c>
      <c r="N350" t="str">
        <f>_xlfn.XLOOKUP(B350,Customer_Master!A:A,Customer_Master!C:C,"Not Found")</f>
        <v>Pune</v>
      </c>
      <c r="O350" t="str">
        <f>_xlfn.XLOOKUP(B350,Customer_Master!A:A,Customer_Master!D:D,"Not Found")</f>
        <v>Self-Employed</v>
      </c>
      <c r="P350" t="str">
        <f>_xlfn.XLOOKUP(B350,Customer_Master!A:A,Customer_Master!E:E,"Not Found")</f>
        <v>Low</v>
      </c>
      <c r="Q350" t="str" cm="1">
        <f t="array" ref="Q350">_xlfn.IFS(H350&lt;600,"High Risk",H350&lt;=750,"Medium Risk",TRUE,"Low Risk")</f>
        <v>Low Risk</v>
      </c>
    </row>
    <row r="351" spans="1:17" x14ac:dyDescent="0.3">
      <c r="A351" t="s">
        <v>546</v>
      </c>
      <c r="B351" t="s">
        <v>288</v>
      </c>
      <c r="C351">
        <v>58</v>
      </c>
      <c r="D351">
        <v>140529</v>
      </c>
      <c r="E351">
        <v>1681170</v>
      </c>
      <c r="F351">
        <v>9.9499999999999993</v>
      </c>
      <c r="G351">
        <v>120</v>
      </c>
      <c r="H351">
        <v>723</v>
      </c>
      <c r="I351" t="s">
        <v>20</v>
      </c>
      <c r="J351" t="s">
        <v>16</v>
      </c>
      <c r="K351">
        <v>22170</v>
      </c>
      <c r="L351" t="s">
        <v>22</v>
      </c>
      <c r="M351" s="8">
        <v>45538</v>
      </c>
      <c r="N351" t="str">
        <f>_xlfn.XLOOKUP(B351,Customer_Master!A:A,Customer_Master!C:C,"Not Found")</f>
        <v>Delhi</v>
      </c>
      <c r="O351" t="str">
        <f>_xlfn.XLOOKUP(B351,Customer_Master!A:A,Customer_Master!D:D,"Not Found")</f>
        <v>Self-Employed</v>
      </c>
      <c r="P351" t="str">
        <f>_xlfn.XLOOKUP(B351,Customer_Master!A:A,Customer_Master!E:E,"Not Found")</f>
        <v>Medium</v>
      </c>
      <c r="Q351" t="str" cm="1">
        <f t="array" ref="Q351">_xlfn.IFS(H351&lt;600,"High Risk",H351&lt;=750,"Medium Risk",TRUE,"Low Risk")</f>
        <v>Medium Risk</v>
      </c>
    </row>
    <row r="352" spans="1:17" x14ac:dyDescent="0.3">
      <c r="A352" t="s">
        <v>547</v>
      </c>
      <c r="B352" t="s">
        <v>310</v>
      </c>
      <c r="C352">
        <v>25</v>
      </c>
      <c r="D352">
        <v>77060</v>
      </c>
      <c r="E352">
        <v>1474131</v>
      </c>
      <c r="F352">
        <v>10.8</v>
      </c>
      <c r="G352">
        <v>12</v>
      </c>
      <c r="H352">
        <v>719</v>
      </c>
      <c r="I352" t="s">
        <v>15</v>
      </c>
      <c r="J352" t="s">
        <v>16</v>
      </c>
      <c r="K352">
        <v>130149</v>
      </c>
      <c r="L352" t="s">
        <v>17</v>
      </c>
      <c r="M352" s="8">
        <v>45339</v>
      </c>
      <c r="N352" t="str">
        <f>_xlfn.XLOOKUP(B352,Customer_Master!A:A,Customer_Master!C:C,"Not Found")</f>
        <v>Bangalore</v>
      </c>
      <c r="O352" t="str">
        <f>_xlfn.XLOOKUP(B352,Customer_Master!A:A,Customer_Master!D:D,"Not Found")</f>
        <v>Self-Employed</v>
      </c>
      <c r="P352" t="str">
        <f>_xlfn.XLOOKUP(B352,Customer_Master!A:A,Customer_Master!E:E,"Not Found")</f>
        <v>Low</v>
      </c>
      <c r="Q352" t="str" cm="1">
        <f t="array" ref="Q352">_xlfn.IFS(H352&lt;600,"High Risk",H352&lt;=750,"Medium Risk",TRUE,"Low Risk")</f>
        <v>Medium Risk</v>
      </c>
    </row>
    <row r="353" spans="1:17" x14ac:dyDescent="0.3">
      <c r="A353" t="s">
        <v>548</v>
      </c>
      <c r="B353" t="s">
        <v>229</v>
      </c>
      <c r="C353">
        <v>60</v>
      </c>
      <c r="D353">
        <v>177791</v>
      </c>
      <c r="E353">
        <v>912043</v>
      </c>
      <c r="F353">
        <v>12.42</v>
      </c>
      <c r="G353">
        <v>36</v>
      </c>
      <c r="H353">
        <v>634</v>
      </c>
      <c r="I353" t="s">
        <v>15</v>
      </c>
      <c r="J353" t="s">
        <v>21</v>
      </c>
      <c r="K353">
        <v>30476</v>
      </c>
      <c r="L353" t="s">
        <v>17</v>
      </c>
      <c r="M353" s="8">
        <v>45483</v>
      </c>
      <c r="N353" t="str">
        <f>_xlfn.XLOOKUP(B353,Customer_Master!A:A,Customer_Master!C:C,"Not Found")</f>
        <v>Bangalore</v>
      </c>
      <c r="O353" t="str">
        <f>_xlfn.XLOOKUP(B353,Customer_Master!A:A,Customer_Master!D:D,"Not Found")</f>
        <v>Salaried</v>
      </c>
      <c r="P353" t="str">
        <f>_xlfn.XLOOKUP(B353,Customer_Master!A:A,Customer_Master!E:E,"Not Found")</f>
        <v>Medium</v>
      </c>
      <c r="Q353" t="str" cm="1">
        <f t="array" ref="Q353">_xlfn.IFS(H353&lt;600,"High Risk",H353&lt;=750,"Medium Risk",TRUE,"Low Risk")</f>
        <v>Medium Risk</v>
      </c>
    </row>
    <row r="354" spans="1:17" x14ac:dyDescent="0.3">
      <c r="A354" t="s">
        <v>549</v>
      </c>
      <c r="B354" t="s">
        <v>216</v>
      </c>
      <c r="C354">
        <v>34</v>
      </c>
      <c r="D354">
        <v>97183</v>
      </c>
      <c r="E354">
        <v>463117</v>
      </c>
      <c r="F354">
        <v>7.6</v>
      </c>
      <c r="G354">
        <v>48</v>
      </c>
      <c r="H354">
        <v>666</v>
      </c>
      <c r="I354" t="s">
        <v>31</v>
      </c>
      <c r="J354" t="s">
        <v>39</v>
      </c>
      <c r="K354">
        <v>11219</v>
      </c>
      <c r="L354" t="s">
        <v>22</v>
      </c>
      <c r="M354" s="8">
        <v>45275</v>
      </c>
      <c r="N354" t="str">
        <f>_xlfn.XLOOKUP(B354,Customer_Master!A:A,Customer_Master!C:C,"Not Found")</f>
        <v>Chennai</v>
      </c>
      <c r="O354" t="str">
        <f>_xlfn.XLOOKUP(B354,Customer_Master!A:A,Customer_Master!D:D,"Not Found")</f>
        <v>Business Owner</v>
      </c>
      <c r="P354" t="str">
        <f>_xlfn.XLOOKUP(B354,Customer_Master!A:A,Customer_Master!E:E,"Not Found")</f>
        <v>Medium</v>
      </c>
      <c r="Q354" t="str" cm="1">
        <f t="array" ref="Q354">_xlfn.IFS(H354&lt;600,"High Risk",H354&lt;=750,"Medium Risk",TRUE,"Low Risk")</f>
        <v>Medium Risk</v>
      </c>
    </row>
    <row r="355" spans="1:17" x14ac:dyDescent="0.3">
      <c r="A355" t="s">
        <v>550</v>
      </c>
      <c r="B355" t="s">
        <v>210</v>
      </c>
      <c r="C355">
        <v>60</v>
      </c>
      <c r="D355">
        <v>196316</v>
      </c>
      <c r="E355">
        <v>599199</v>
      </c>
      <c r="F355">
        <v>16.22</v>
      </c>
      <c r="G355">
        <v>24</v>
      </c>
      <c r="H355">
        <v>789</v>
      </c>
      <c r="I355" t="s">
        <v>31</v>
      </c>
      <c r="J355" t="s">
        <v>39</v>
      </c>
      <c r="K355">
        <v>29402</v>
      </c>
      <c r="L355" t="s">
        <v>17</v>
      </c>
      <c r="M355" s="8">
        <v>44943</v>
      </c>
      <c r="N355" t="str">
        <f>_xlfn.XLOOKUP(B355,Customer_Master!A:A,Customer_Master!C:C,"Not Found")</f>
        <v>Hyderabad</v>
      </c>
      <c r="O355" t="str">
        <f>_xlfn.XLOOKUP(B355,Customer_Master!A:A,Customer_Master!D:D,"Not Found")</f>
        <v>Salaried</v>
      </c>
      <c r="P355" t="str">
        <f>_xlfn.XLOOKUP(B355,Customer_Master!A:A,Customer_Master!E:E,"Not Found")</f>
        <v>High</v>
      </c>
      <c r="Q355" t="str" cm="1">
        <f t="array" ref="Q355">_xlfn.IFS(H355&lt;600,"High Risk",H355&lt;=750,"Medium Risk",TRUE,"Low Risk")</f>
        <v>Low Risk</v>
      </c>
    </row>
    <row r="356" spans="1:17" x14ac:dyDescent="0.3">
      <c r="A356" t="s">
        <v>551</v>
      </c>
      <c r="B356" t="s">
        <v>123</v>
      </c>
      <c r="C356">
        <v>44</v>
      </c>
      <c r="D356">
        <v>167058</v>
      </c>
      <c r="E356">
        <v>1306744</v>
      </c>
      <c r="F356">
        <v>10.36</v>
      </c>
      <c r="G356">
        <v>24</v>
      </c>
      <c r="H356">
        <v>612</v>
      </c>
      <c r="I356" t="s">
        <v>27</v>
      </c>
      <c r="J356" t="s">
        <v>21</v>
      </c>
      <c r="K356">
        <v>60517</v>
      </c>
      <c r="L356" t="s">
        <v>22</v>
      </c>
      <c r="M356" s="8">
        <v>45260</v>
      </c>
      <c r="N356" t="str">
        <f>_xlfn.XLOOKUP(B356,Customer_Master!A:A,Customer_Master!C:C,"Not Found")</f>
        <v>Hyderabad</v>
      </c>
      <c r="O356" t="str">
        <f>_xlfn.XLOOKUP(B356,Customer_Master!A:A,Customer_Master!D:D,"Not Found")</f>
        <v>Self-Employed</v>
      </c>
      <c r="P356" t="str">
        <f>_xlfn.XLOOKUP(B356,Customer_Master!A:A,Customer_Master!E:E,"Not Found")</f>
        <v>Low</v>
      </c>
      <c r="Q356" t="str" cm="1">
        <f t="array" ref="Q356">_xlfn.IFS(H356&lt;600,"High Risk",H356&lt;=750,"Medium Risk",TRUE,"Low Risk")</f>
        <v>Medium Risk</v>
      </c>
    </row>
    <row r="357" spans="1:17" x14ac:dyDescent="0.3">
      <c r="A357" t="s">
        <v>552</v>
      </c>
      <c r="B357" t="s">
        <v>105</v>
      </c>
      <c r="C357">
        <v>26</v>
      </c>
      <c r="D357">
        <v>104153</v>
      </c>
      <c r="E357">
        <v>1169291</v>
      </c>
      <c r="F357">
        <v>7.51</v>
      </c>
      <c r="G357">
        <v>240</v>
      </c>
      <c r="H357">
        <v>491</v>
      </c>
      <c r="I357" t="s">
        <v>31</v>
      </c>
      <c r="J357" t="s">
        <v>28</v>
      </c>
      <c r="K357">
        <v>9427</v>
      </c>
      <c r="L357" t="s">
        <v>22</v>
      </c>
      <c r="M357" s="8">
        <v>44761</v>
      </c>
      <c r="N357" t="str">
        <f>_xlfn.XLOOKUP(B357,Customer_Master!A:A,Customer_Master!C:C,"Not Found")</f>
        <v>Pune</v>
      </c>
      <c r="O357" t="str">
        <f>_xlfn.XLOOKUP(B357,Customer_Master!A:A,Customer_Master!D:D,"Not Found")</f>
        <v>Self-Employed</v>
      </c>
      <c r="P357" t="str">
        <f>_xlfn.XLOOKUP(B357,Customer_Master!A:A,Customer_Master!E:E,"Not Found")</f>
        <v>Low</v>
      </c>
      <c r="Q357" t="str" cm="1">
        <f t="array" ref="Q357">_xlfn.IFS(H357&lt;600,"High Risk",H357&lt;=750,"Medium Risk",TRUE,"Low Risk")</f>
        <v>High Risk</v>
      </c>
    </row>
    <row r="358" spans="1:17" x14ac:dyDescent="0.3">
      <c r="A358" t="s">
        <v>553</v>
      </c>
      <c r="B358" t="s">
        <v>472</v>
      </c>
      <c r="C358">
        <v>58</v>
      </c>
      <c r="D358">
        <v>57422</v>
      </c>
      <c r="E358">
        <v>1223093</v>
      </c>
      <c r="F358">
        <v>9.9700000000000006</v>
      </c>
      <c r="G358">
        <v>48</v>
      </c>
      <c r="H358">
        <v>628</v>
      </c>
      <c r="I358" t="s">
        <v>27</v>
      </c>
      <c r="J358" t="s">
        <v>21</v>
      </c>
      <c r="K358">
        <v>31003</v>
      </c>
      <c r="L358" t="s">
        <v>17</v>
      </c>
      <c r="M358" s="8">
        <v>45361</v>
      </c>
      <c r="N358" t="str">
        <f>_xlfn.XLOOKUP(B358,Customer_Master!A:A,Customer_Master!C:C,"Not Found")</f>
        <v>Bangalore</v>
      </c>
      <c r="O358" t="str">
        <f>_xlfn.XLOOKUP(B358,Customer_Master!A:A,Customer_Master!D:D,"Not Found")</f>
        <v>Business Owner</v>
      </c>
      <c r="P358" t="str">
        <f>_xlfn.XLOOKUP(B358,Customer_Master!A:A,Customer_Master!E:E,"Not Found")</f>
        <v>Medium</v>
      </c>
      <c r="Q358" t="str" cm="1">
        <f t="array" ref="Q358">_xlfn.IFS(H358&lt;600,"High Risk",H358&lt;=750,"Medium Risk",TRUE,"Low Risk")</f>
        <v>Medium Risk</v>
      </c>
    </row>
    <row r="359" spans="1:17" x14ac:dyDescent="0.3">
      <c r="A359" t="s">
        <v>554</v>
      </c>
      <c r="B359" t="s">
        <v>59</v>
      </c>
      <c r="C359">
        <v>52</v>
      </c>
      <c r="D359">
        <v>26536</v>
      </c>
      <c r="E359">
        <v>1743569</v>
      </c>
      <c r="F359">
        <v>11.83</v>
      </c>
      <c r="G359">
        <v>48</v>
      </c>
      <c r="H359">
        <v>473</v>
      </c>
      <c r="I359" t="s">
        <v>15</v>
      </c>
      <c r="J359" t="s">
        <v>39</v>
      </c>
      <c r="K359">
        <v>45769</v>
      </c>
      <c r="L359" t="s">
        <v>22</v>
      </c>
      <c r="M359" s="8">
        <v>45129</v>
      </c>
      <c r="N359" t="str">
        <f>_xlfn.XLOOKUP(B359,Customer_Master!A:A,Customer_Master!C:C,"Not Found")</f>
        <v>Pune</v>
      </c>
      <c r="O359" t="str">
        <f>_xlfn.XLOOKUP(B359,Customer_Master!A:A,Customer_Master!D:D,"Not Found")</f>
        <v>Self-Employed</v>
      </c>
      <c r="P359" t="str">
        <f>_xlfn.XLOOKUP(B359,Customer_Master!A:A,Customer_Master!E:E,"Not Found")</f>
        <v>Low</v>
      </c>
      <c r="Q359" t="str" cm="1">
        <f t="array" ref="Q359">_xlfn.IFS(H359&lt;600,"High Risk",H359&lt;=750,"Medium Risk",TRUE,"Low Risk")</f>
        <v>High Risk</v>
      </c>
    </row>
    <row r="360" spans="1:17" x14ac:dyDescent="0.3">
      <c r="A360" t="s">
        <v>555</v>
      </c>
      <c r="B360" t="s">
        <v>59</v>
      </c>
      <c r="C360">
        <v>23</v>
      </c>
      <c r="D360">
        <v>153497</v>
      </c>
      <c r="E360">
        <v>232298</v>
      </c>
      <c r="F360">
        <v>9</v>
      </c>
      <c r="G360">
        <v>24</v>
      </c>
      <c r="H360">
        <v>476</v>
      </c>
      <c r="I360" t="s">
        <v>20</v>
      </c>
      <c r="J360" t="s">
        <v>21</v>
      </c>
      <c r="K360">
        <v>10612</v>
      </c>
      <c r="L360" t="s">
        <v>34</v>
      </c>
      <c r="M360" s="8">
        <v>45226</v>
      </c>
      <c r="N360" t="str">
        <f>_xlfn.XLOOKUP(B360,Customer_Master!A:A,Customer_Master!C:C,"Not Found")</f>
        <v>Pune</v>
      </c>
      <c r="O360" t="str">
        <f>_xlfn.XLOOKUP(B360,Customer_Master!A:A,Customer_Master!D:D,"Not Found")</f>
        <v>Self-Employed</v>
      </c>
      <c r="P360" t="str">
        <f>_xlfn.XLOOKUP(B360,Customer_Master!A:A,Customer_Master!E:E,"Not Found")</f>
        <v>Low</v>
      </c>
      <c r="Q360" t="str" cm="1">
        <f t="array" ref="Q360">_xlfn.IFS(H360&lt;600,"High Risk",H360&lt;=750,"Medium Risk",TRUE,"Low Risk")</f>
        <v>High Risk</v>
      </c>
    </row>
    <row r="361" spans="1:17" x14ac:dyDescent="0.3">
      <c r="A361" t="s">
        <v>556</v>
      </c>
      <c r="B361" t="s">
        <v>412</v>
      </c>
      <c r="C361">
        <v>37</v>
      </c>
      <c r="D361">
        <v>107740</v>
      </c>
      <c r="E361">
        <v>1579631</v>
      </c>
      <c r="F361">
        <v>8.0500000000000007</v>
      </c>
      <c r="G361">
        <v>36</v>
      </c>
      <c r="H361">
        <v>685</v>
      </c>
      <c r="I361" t="s">
        <v>31</v>
      </c>
      <c r="J361" t="s">
        <v>21</v>
      </c>
      <c r="K361">
        <v>49536</v>
      </c>
      <c r="L361" t="s">
        <v>22</v>
      </c>
      <c r="M361" s="8">
        <v>45154</v>
      </c>
      <c r="N361" t="str">
        <f>_xlfn.XLOOKUP(B361,Customer_Master!A:A,Customer_Master!C:C,"Not Found")</f>
        <v>Hyderabad</v>
      </c>
      <c r="O361" t="str">
        <f>_xlfn.XLOOKUP(B361,Customer_Master!A:A,Customer_Master!D:D,"Not Found")</f>
        <v>Business Owner</v>
      </c>
      <c r="P361" t="str">
        <f>_xlfn.XLOOKUP(B361,Customer_Master!A:A,Customer_Master!E:E,"Not Found")</f>
        <v>High</v>
      </c>
      <c r="Q361" t="str" cm="1">
        <f t="array" ref="Q361">_xlfn.IFS(H361&lt;600,"High Risk",H361&lt;=750,"Medium Risk",TRUE,"Low Risk")</f>
        <v>Medium Risk</v>
      </c>
    </row>
    <row r="362" spans="1:17" x14ac:dyDescent="0.3">
      <c r="A362" t="s">
        <v>557</v>
      </c>
      <c r="B362" t="s">
        <v>558</v>
      </c>
      <c r="C362">
        <v>41</v>
      </c>
      <c r="D362">
        <v>124397</v>
      </c>
      <c r="E362">
        <v>602988</v>
      </c>
      <c r="F362">
        <v>9.51</v>
      </c>
      <c r="G362">
        <v>60</v>
      </c>
      <c r="H362">
        <v>524</v>
      </c>
      <c r="I362" t="s">
        <v>27</v>
      </c>
      <c r="J362" t="s">
        <v>21</v>
      </c>
      <c r="K362">
        <v>12667</v>
      </c>
      <c r="L362" t="s">
        <v>17</v>
      </c>
      <c r="M362" s="8">
        <v>45281</v>
      </c>
      <c r="N362" t="str">
        <f>_xlfn.XLOOKUP(B362,Customer_Master!A:A,Customer_Master!C:C,"Not Found")</f>
        <v>Delhi</v>
      </c>
      <c r="O362" t="str">
        <f>_xlfn.XLOOKUP(B362,Customer_Master!A:A,Customer_Master!D:D,"Not Found")</f>
        <v>Business Owner</v>
      </c>
      <c r="P362" t="str">
        <f>_xlfn.XLOOKUP(B362,Customer_Master!A:A,Customer_Master!E:E,"Not Found")</f>
        <v>Low</v>
      </c>
      <c r="Q362" t="str" cm="1">
        <f t="array" ref="Q362">_xlfn.IFS(H362&lt;600,"High Risk",H362&lt;=750,"Medium Risk",TRUE,"Low Risk")</f>
        <v>High Risk</v>
      </c>
    </row>
    <row r="363" spans="1:17" x14ac:dyDescent="0.3">
      <c r="A363" t="s">
        <v>559</v>
      </c>
      <c r="B363" t="s">
        <v>107</v>
      </c>
      <c r="C363">
        <v>57</v>
      </c>
      <c r="D363">
        <v>104848</v>
      </c>
      <c r="E363">
        <v>569958</v>
      </c>
      <c r="F363">
        <v>11.62</v>
      </c>
      <c r="G363">
        <v>60</v>
      </c>
      <c r="H363">
        <v>535</v>
      </c>
      <c r="I363" t="s">
        <v>15</v>
      </c>
      <c r="J363" t="s">
        <v>21</v>
      </c>
      <c r="K363">
        <v>12569</v>
      </c>
      <c r="L363" t="s">
        <v>22</v>
      </c>
      <c r="M363" s="8">
        <v>45343</v>
      </c>
      <c r="N363" t="str">
        <f>_xlfn.XLOOKUP(B363,Customer_Master!A:A,Customer_Master!C:C,"Not Found")</f>
        <v>Chennai</v>
      </c>
      <c r="O363" t="str">
        <f>_xlfn.XLOOKUP(B363,Customer_Master!A:A,Customer_Master!D:D,"Not Found")</f>
        <v>Self-Employed</v>
      </c>
      <c r="P363" t="str">
        <f>_xlfn.XLOOKUP(B363,Customer_Master!A:A,Customer_Master!E:E,"Not Found")</f>
        <v>Medium</v>
      </c>
      <c r="Q363" t="str" cm="1">
        <f t="array" ref="Q363">_xlfn.IFS(H363&lt;600,"High Risk",H363&lt;=750,"Medium Risk",TRUE,"Low Risk")</f>
        <v>High Risk</v>
      </c>
    </row>
    <row r="364" spans="1:17" x14ac:dyDescent="0.3">
      <c r="A364" t="s">
        <v>560</v>
      </c>
      <c r="B364" t="s">
        <v>207</v>
      </c>
      <c r="C364">
        <v>30</v>
      </c>
      <c r="D364">
        <v>194421</v>
      </c>
      <c r="E364">
        <v>1467643</v>
      </c>
      <c r="F364">
        <v>11.07</v>
      </c>
      <c r="G364">
        <v>180</v>
      </c>
      <c r="H364">
        <v>787</v>
      </c>
      <c r="I364" t="s">
        <v>20</v>
      </c>
      <c r="J364" t="s">
        <v>28</v>
      </c>
      <c r="K364">
        <v>16746</v>
      </c>
      <c r="L364" t="s">
        <v>17</v>
      </c>
      <c r="M364" s="8">
        <v>44715</v>
      </c>
      <c r="N364" t="str">
        <f>_xlfn.XLOOKUP(B364,Customer_Master!A:A,Customer_Master!C:C,"Not Found")</f>
        <v>Mumbai</v>
      </c>
      <c r="O364" t="str">
        <f>_xlfn.XLOOKUP(B364,Customer_Master!A:A,Customer_Master!D:D,"Not Found")</f>
        <v>Salaried</v>
      </c>
      <c r="P364" t="str">
        <f>_xlfn.XLOOKUP(B364,Customer_Master!A:A,Customer_Master!E:E,"Not Found")</f>
        <v>Low</v>
      </c>
      <c r="Q364" t="str" cm="1">
        <f t="array" ref="Q364">_xlfn.IFS(H364&lt;600,"High Risk",H364&lt;=750,"Medium Risk",TRUE,"Low Risk")</f>
        <v>Low Risk</v>
      </c>
    </row>
    <row r="365" spans="1:17" x14ac:dyDescent="0.3">
      <c r="A365" t="s">
        <v>561</v>
      </c>
      <c r="B365" t="s">
        <v>97</v>
      </c>
      <c r="C365">
        <v>59</v>
      </c>
      <c r="D365">
        <v>196340</v>
      </c>
      <c r="E365">
        <v>1972529</v>
      </c>
      <c r="F365">
        <v>7.64</v>
      </c>
      <c r="G365">
        <v>240</v>
      </c>
      <c r="H365">
        <v>502</v>
      </c>
      <c r="I365" t="s">
        <v>27</v>
      </c>
      <c r="J365" t="s">
        <v>21</v>
      </c>
      <c r="K365">
        <v>16060</v>
      </c>
      <c r="L365" t="s">
        <v>34</v>
      </c>
      <c r="M365" s="8">
        <v>44913</v>
      </c>
      <c r="N365" t="str">
        <f>_xlfn.XLOOKUP(B365,Customer_Master!A:A,Customer_Master!C:C,"Not Found")</f>
        <v>Chennai</v>
      </c>
      <c r="O365" t="str">
        <f>_xlfn.XLOOKUP(B365,Customer_Master!A:A,Customer_Master!D:D,"Not Found")</f>
        <v>Business Owner</v>
      </c>
      <c r="P365" t="str">
        <f>_xlfn.XLOOKUP(B365,Customer_Master!A:A,Customer_Master!E:E,"Not Found")</f>
        <v>High</v>
      </c>
      <c r="Q365" t="str" cm="1">
        <f t="array" ref="Q365">_xlfn.IFS(H365&lt;600,"High Risk",H365&lt;=750,"Medium Risk",TRUE,"Low Risk")</f>
        <v>High Risk</v>
      </c>
    </row>
    <row r="366" spans="1:17" x14ac:dyDescent="0.3">
      <c r="A366" t="s">
        <v>562</v>
      </c>
      <c r="B366" t="s">
        <v>563</v>
      </c>
      <c r="C366">
        <v>39</v>
      </c>
      <c r="D366">
        <v>48562</v>
      </c>
      <c r="E366">
        <v>1344853</v>
      </c>
      <c r="F366">
        <v>11.69</v>
      </c>
      <c r="G366">
        <v>12</v>
      </c>
      <c r="H366">
        <v>652</v>
      </c>
      <c r="I366" t="s">
        <v>20</v>
      </c>
      <c r="J366" t="s">
        <v>21</v>
      </c>
      <c r="K366">
        <v>119294</v>
      </c>
      <c r="L366" t="s">
        <v>22</v>
      </c>
      <c r="M366" s="8">
        <v>44937</v>
      </c>
      <c r="N366" t="str">
        <f>_xlfn.XLOOKUP(B366,Customer_Master!A:A,Customer_Master!C:C,"Not Found")</f>
        <v>Mumbai</v>
      </c>
      <c r="O366" t="str">
        <f>_xlfn.XLOOKUP(B366,Customer_Master!A:A,Customer_Master!D:D,"Not Found")</f>
        <v>Self-Employed</v>
      </c>
      <c r="P366" t="str">
        <f>_xlfn.XLOOKUP(B366,Customer_Master!A:A,Customer_Master!E:E,"Not Found")</f>
        <v>High</v>
      </c>
      <c r="Q366" t="str" cm="1">
        <f t="array" ref="Q366">_xlfn.IFS(H366&lt;600,"High Risk",H366&lt;=750,"Medium Risk",TRUE,"Low Risk")</f>
        <v>Medium Risk</v>
      </c>
    </row>
    <row r="367" spans="1:17" x14ac:dyDescent="0.3">
      <c r="A367" t="s">
        <v>564</v>
      </c>
      <c r="B367" t="s">
        <v>45</v>
      </c>
      <c r="C367">
        <v>26</v>
      </c>
      <c r="D367">
        <v>130522</v>
      </c>
      <c r="E367">
        <v>437778</v>
      </c>
      <c r="F367">
        <v>8.3000000000000007</v>
      </c>
      <c r="G367">
        <v>60</v>
      </c>
      <c r="H367">
        <v>783</v>
      </c>
      <c r="I367" t="s">
        <v>27</v>
      </c>
      <c r="J367" t="s">
        <v>39</v>
      </c>
      <c r="K367">
        <v>8940</v>
      </c>
      <c r="L367" t="s">
        <v>22</v>
      </c>
      <c r="M367" s="8">
        <v>45426</v>
      </c>
      <c r="N367" t="str">
        <f>_xlfn.XLOOKUP(B367,Customer_Master!A:A,Customer_Master!C:C,"Not Found")</f>
        <v>Pune</v>
      </c>
      <c r="O367" t="str">
        <f>_xlfn.XLOOKUP(B367,Customer_Master!A:A,Customer_Master!D:D,"Not Found")</f>
        <v>Self-Employed</v>
      </c>
      <c r="P367" t="str">
        <f>_xlfn.XLOOKUP(B367,Customer_Master!A:A,Customer_Master!E:E,"Not Found")</f>
        <v>Low</v>
      </c>
      <c r="Q367" t="str" cm="1">
        <f t="array" ref="Q367">_xlfn.IFS(H367&lt;600,"High Risk",H367&lt;=750,"Medium Risk",TRUE,"Low Risk")</f>
        <v>Low Risk</v>
      </c>
    </row>
    <row r="368" spans="1:17" x14ac:dyDescent="0.3">
      <c r="A368" t="s">
        <v>565</v>
      </c>
      <c r="B368" t="s">
        <v>566</v>
      </c>
      <c r="C368">
        <v>25</v>
      </c>
      <c r="D368">
        <v>158213</v>
      </c>
      <c r="E368">
        <v>1172854</v>
      </c>
      <c r="F368">
        <v>15.51</v>
      </c>
      <c r="G368">
        <v>120</v>
      </c>
      <c r="H368">
        <v>581</v>
      </c>
      <c r="I368" t="s">
        <v>27</v>
      </c>
      <c r="J368" t="s">
        <v>28</v>
      </c>
      <c r="K368">
        <v>19290</v>
      </c>
      <c r="L368" t="s">
        <v>22</v>
      </c>
      <c r="M368" s="8">
        <v>45251</v>
      </c>
      <c r="N368" t="str">
        <f>_xlfn.XLOOKUP(B368,Customer_Master!A:A,Customer_Master!C:C,"Not Found")</f>
        <v>Delhi</v>
      </c>
      <c r="O368" t="str">
        <f>_xlfn.XLOOKUP(B368,Customer_Master!A:A,Customer_Master!D:D,"Not Found")</f>
        <v>Salaried</v>
      </c>
      <c r="P368" t="str">
        <f>_xlfn.XLOOKUP(B368,Customer_Master!A:A,Customer_Master!E:E,"Not Found")</f>
        <v>Medium</v>
      </c>
      <c r="Q368" t="str" cm="1">
        <f t="array" ref="Q368">_xlfn.IFS(H368&lt;600,"High Risk",H368&lt;=750,"Medium Risk",TRUE,"Low Risk")</f>
        <v>High Risk</v>
      </c>
    </row>
    <row r="369" spans="1:17" x14ac:dyDescent="0.3">
      <c r="A369" t="s">
        <v>567</v>
      </c>
      <c r="B369" t="s">
        <v>380</v>
      </c>
      <c r="C369">
        <v>43</v>
      </c>
      <c r="D369">
        <v>35066</v>
      </c>
      <c r="E369">
        <v>1942918</v>
      </c>
      <c r="F369">
        <v>9.32</v>
      </c>
      <c r="G369">
        <v>180</v>
      </c>
      <c r="H369">
        <v>718</v>
      </c>
      <c r="I369" t="s">
        <v>20</v>
      </c>
      <c r="J369" t="s">
        <v>28</v>
      </c>
      <c r="K369">
        <v>20078</v>
      </c>
      <c r="L369" t="s">
        <v>22</v>
      </c>
      <c r="M369" s="8">
        <v>45129</v>
      </c>
      <c r="N369" t="str">
        <f>_xlfn.XLOOKUP(B369,Customer_Master!A:A,Customer_Master!C:C,"Not Found")</f>
        <v>Hyderabad</v>
      </c>
      <c r="O369" t="str">
        <f>_xlfn.XLOOKUP(B369,Customer_Master!A:A,Customer_Master!D:D,"Not Found")</f>
        <v>Salaried</v>
      </c>
      <c r="P369" t="str">
        <f>_xlfn.XLOOKUP(B369,Customer_Master!A:A,Customer_Master!E:E,"Not Found")</f>
        <v>Medium</v>
      </c>
      <c r="Q369" t="str" cm="1">
        <f t="array" ref="Q369">_xlfn.IFS(H369&lt;600,"High Risk",H369&lt;=750,"Medium Risk",TRUE,"Low Risk")</f>
        <v>Medium Risk</v>
      </c>
    </row>
    <row r="370" spans="1:17" x14ac:dyDescent="0.3">
      <c r="A370" t="s">
        <v>568</v>
      </c>
      <c r="B370" t="s">
        <v>205</v>
      </c>
      <c r="C370">
        <v>23</v>
      </c>
      <c r="D370">
        <v>34465</v>
      </c>
      <c r="E370">
        <v>1165320</v>
      </c>
      <c r="F370">
        <v>10.64</v>
      </c>
      <c r="G370">
        <v>36</v>
      </c>
      <c r="H370">
        <v>723</v>
      </c>
      <c r="I370" t="s">
        <v>20</v>
      </c>
      <c r="J370" t="s">
        <v>39</v>
      </c>
      <c r="K370">
        <v>37953</v>
      </c>
      <c r="L370" t="s">
        <v>17</v>
      </c>
      <c r="M370" s="8">
        <v>44635</v>
      </c>
      <c r="N370" t="str">
        <f>_xlfn.XLOOKUP(B370,Customer_Master!A:A,Customer_Master!C:C,"Not Found")</f>
        <v>Delhi</v>
      </c>
      <c r="O370" t="str">
        <f>_xlfn.XLOOKUP(B370,Customer_Master!A:A,Customer_Master!D:D,"Not Found")</f>
        <v>Business Owner</v>
      </c>
      <c r="P370" t="str">
        <f>_xlfn.XLOOKUP(B370,Customer_Master!A:A,Customer_Master!E:E,"Not Found")</f>
        <v>Low</v>
      </c>
      <c r="Q370" t="str" cm="1">
        <f t="array" ref="Q370">_xlfn.IFS(H370&lt;600,"High Risk",H370&lt;=750,"Medium Risk",TRUE,"Low Risk")</f>
        <v>Medium Risk</v>
      </c>
    </row>
    <row r="371" spans="1:17" x14ac:dyDescent="0.3">
      <c r="A371" t="s">
        <v>569</v>
      </c>
      <c r="B371" t="s">
        <v>188</v>
      </c>
      <c r="C371">
        <v>52</v>
      </c>
      <c r="D371">
        <v>119479</v>
      </c>
      <c r="E371">
        <v>391179</v>
      </c>
      <c r="F371">
        <v>9.5500000000000007</v>
      </c>
      <c r="G371">
        <v>120</v>
      </c>
      <c r="H371">
        <v>556</v>
      </c>
      <c r="I371" t="s">
        <v>31</v>
      </c>
      <c r="J371" t="s">
        <v>16</v>
      </c>
      <c r="K371">
        <v>5072</v>
      </c>
      <c r="L371" t="s">
        <v>22</v>
      </c>
      <c r="M371" s="8">
        <v>45207</v>
      </c>
      <c r="N371" t="str">
        <f>_xlfn.XLOOKUP(B371,Customer_Master!A:A,Customer_Master!C:C,"Not Found")</f>
        <v>Delhi</v>
      </c>
      <c r="O371" t="str">
        <f>_xlfn.XLOOKUP(B371,Customer_Master!A:A,Customer_Master!D:D,"Not Found")</f>
        <v>Salaried</v>
      </c>
      <c r="P371" t="str">
        <f>_xlfn.XLOOKUP(B371,Customer_Master!A:A,Customer_Master!E:E,"Not Found")</f>
        <v>High</v>
      </c>
      <c r="Q371" t="str" cm="1">
        <f t="array" ref="Q371">_xlfn.IFS(H371&lt;600,"High Risk",H371&lt;=750,"Medium Risk",TRUE,"Low Risk")</f>
        <v>High Risk</v>
      </c>
    </row>
    <row r="372" spans="1:17" x14ac:dyDescent="0.3">
      <c r="A372" t="s">
        <v>570</v>
      </c>
      <c r="B372" t="s">
        <v>212</v>
      </c>
      <c r="C372">
        <v>51</v>
      </c>
      <c r="D372">
        <v>62543</v>
      </c>
      <c r="E372">
        <v>251475</v>
      </c>
      <c r="F372">
        <v>8.83</v>
      </c>
      <c r="G372">
        <v>12</v>
      </c>
      <c r="H372">
        <v>766</v>
      </c>
      <c r="I372" t="s">
        <v>27</v>
      </c>
      <c r="J372" t="s">
        <v>39</v>
      </c>
      <c r="K372">
        <v>21972</v>
      </c>
      <c r="L372" t="s">
        <v>22</v>
      </c>
      <c r="M372" s="8">
        <v>45111</v>
      </c>
      <c r="N372" t="str">
        <f>_xlfn.XLOOKUP(B372,Customer_Master!A:A,Customer_Master!C:C,"Not Found")</f>
        <v>Chennai</v>
      </c>
      <c r="O372" t="str">
        <f>_xlfn.XLOOKUP(B372,Customer_Master!A:A,Customer_Master!D:D,"Not Found")</f>
        <v>Business Owner</v>
      </c>
      <c r="P372" t="str">
        <f>_xlfn.XLOOKUP(B372,Customer_Master!A:A,Customer_Master!E:E,"Not Found")</f>
        <v>High</v>
      </c>
      <c r="Q372" t="str" cm="1">
        <f t="array" ref="Q372">_xlfn.IFS(H372&lt;600,"High Risk",H372&lt;=750,"Medium Risk",TRUE,"Low Risk")</f>
        <v>Low Risk</v>
      </c>
    </row>
    <row r="373" spans="1:17" x14ac:dyDescent="0.3">
      <c r="A373" t="s">
        <v>571</v>
      </c>
      <c r="B373" t="s">
        <v>127</v>
      </c>
      <c r="C373">
        <v>25</v>
      </c>
      <c r="D373">
        <v>128570</v>
      </c>
      <c r="E373">
        <v>1604039</v>
      </c>
      <c r="F373">
        <v>16.32</v>
      </c>
      <c r="G373">
        <v>60</v>
      </c>
      <c r="H373">
        <v>505</v>
      </c>
      <c r="I373" t="s">
        <v>27</v>
      </c>
      <c r="J373" t="s">
        <v>21</v>
      </c>
      <c r="K373">
        <v>39280</v>
      </c>
      <c r="L373" t="s">
        <v>22</v>
      </c>
      <c r="M373" s="8">
        <v>44782</v>
      </c>
      <c r="N373" t="str">
        <f>_xlfn.XLOOKUP(B373,Customer_Master!A:A,Customer_Master!C:C,"Not Found")</f>
        <v>Bangalore</v>
      </c>
      <c r="O373" t="str">
        <f>_xlfn.XLOOKUP(B373,Customer_Master!A:A,Customer_Master!D:D,"Not Found")</f>
        <v>Salaried</v>
      </c>
      <c r="P373" t="str">
        <f>_xlfn.XLOOKUP(B373,Customer_Master!A:A,Customer_Master!E:E,"Not Found")</f>
        <v>Medium</v>
      </c>
      <c r="Q373" t="str" cm="1">
        <f t="array" ref="Q373">_xlfn.IFS(H373&lt;600,"High Risk",H373&lt;=750,"Medium Risk",TRUE,"Low Risk")</f>
        <v>High Risk</v>
      </c>
    </row>
    <row r="374" spans="1:17" x14ac:dyDescent="0.3">
      <c r="A374" t="s">
        <v>572</v>
      </c>
      <c r="B374" t="s">
        <v>405</v>
      </c>
      <c r="C374">
        <v>53</v>
      </c>
      <c r="D374">
        <v>169589</v>
      </c>
      <c r="E374">
        <v>1478938</v>
      </c>
      <c r="F374">
        <v>10.77</v>
      </c>
      <c r="G374">
        <v>24</v>
      </c>
      <c r="H374">
        <v>770</v>
      </c>
      <c r="I374" t="s">
        <v>27</v>
      </c>
      <c r="J374" t="s">
        <v>21</v>
      </c>
      <c r="K374">
        <v>68772</v>
      </c>
      <c r="L374" t="s">
        <v>22</v>
      </c>
      <c r="M374" s="8">
        <v>45313</v>
      </c>
      <c r="N374" t="str">
        <f>_xlfn.XLOOKUP(B374,Customer_Master!A:A,Customer_Master!C:C,"Not Found")</f>
        <v>Delhi</v>
      </c>
      <c r="O374" t="str">
        <f>_xlfn.XLOOKUP(B374,Customer_Master!A:A,Customer_Master!D:D,"Not Found")</f>
        <v>Self-Employed</v>
      </c>
      <c r="P374" t="str">
        <f>_xlfn.XLOOKUP(B374,Customer_Master!A:A,Customer_Master!E:E,"Not Found")</f>
        <v>Low</v>
      </c>
      <c r="Q374" t="str" cm="1">
        <f t="array" ref="Q374">_xlfn.IFS(H374&lt;600,"High Risk",H374&lt;=750,"Medium Risk",TRUE,"Low Risk")</f>
        <v>Low Risk</v>
      </c>
    </row>
    <row r="375" spans="1:17" x14ac:dyDescent="0.3">
      <c r="A375" t="s">
        <v>573</v>
      </c>
      <c r="B375" t="s">
        <v>574</v>
      </c>
      <c r="C375">
        <v>45</v>
      </c>
      <c r="D375">
        <v>94168</v>
      </c>
      <c r="E375">
        <v>277688</v>
      </c>
      <c r="F375">
        <v>7.64</v>
      </c>
      <c r="G375">
        <v>180</v>
      </c>
      <c r="H375">
        <v>471</v>
      </c>
      <c r="I375" t="s">
        <v>31</v>
      </c>
      <c r="J375" t="s">
        <v>16</v>
      </c>
      <c r="K375">
        <v>2596</v>
      </c>
      <c r="L375" t="s">
        <v>17</v>
      </c>
      <c r="M375" s="8">
        <v>45305</v>
      </c>
      <c r="N375" t="str">
        <f>_xlfn.XLOOKUP(B375,Customer_Master!A:A,Customer_Master!C:C,"Not Found")</f>
        <v>Mumbai</v>
      </c>
      <c r="O375" t="str">
        <f>_xlfn.XLOOKUP(B375,Customer_Master!A:A,Customer_Master!D:D,"Not Found")</f>
        <v>Self-Employed</v>
      </c>
      <c r="P375" t="str">
        <f>_xlfn.XLOOKUP(B375,Customer_Master!A:A,Customer_Master!E:E,"Not Found")</f>
        <v>Low</v>
      </c>
      <c r="Q375" t="str" cm="1">
        <f t="array" ref="Q375">_xlfn.IFS(H375&lt;600,"High Risk",H375&lt;=750,"Medium Risk",TRUE,"Low Risk")</f>
        <v>High Risk</v>
      </c>
    </row>
    <row r="376" spans="1:17" x14ac:dyDescent="0.3">
      <c r="A376" t="s">
        <v>575</v>
      </c>
      <c r="B376" t="s">
        <v>265</v>
      </c>
      <c r="C376">
        <v>24</v>
      </c>
      <c r="D376">
        <v>125938</v>
      </c>
      <c r="E376">
        <v>1373907</v>
      </c>
      <c r="F376">
        <v>13.63</v>
      </c>
      <c r="G376">
        <v>120</v>
      </c>
      <c r="H376">
        <v>510</v>
      </c>
      <c r="I376" t="s">
        <v>31</v>
      </c>
      <c r="J376" t="s">
        <v>28</v>
      </c>
      <c r="K376">
        <v>21028</v>
      </c>
      <c r="L376" t="s">
        <v>34</v>
      </c>
      <c r="M376" s="8">
        <v>45127</v>
      </c>
      <c r="N376" t="str">
        <f>_xlfn.XLOOKUP(B376,Customer_Master!A:A,Customer_Master!C:C,"Not Found")</f>
        <v>Bangalore</v>
      </c>
      <c r="O376" t="str">
        <f>_xlfn.XLOOKUP(B376,Customer_Master!A:A,Customer_Master!D:D,"Not Found")</f>
        <v>Business Owner</v>
      </c>
      <c r="P376" t="str">
        <f>_xlfn.XLOOKUP(B376,Customer_Master!A:A,Customer_Master!E:E,"Not Found")</f>
        <v>High</v>
      </c>
      <c r="Q376" t="str" cm="1">
        <f t="array" ref="Q376">_xlfn.IFS(H376&lt;600,"High Risk",H376&lt;=750,"Medium Risk",TRUE,"Low Risk")</f>
        <v>High Risk</v>
      </c>
    </row>
    <row r="377" spans="1:17" x14ac:dyDescent="0.3">
      <c r="A377" t="s">
        <v>576</v>
      </c>
      <c r="B377" t="s">
        <v>577</v>
      </c>
      <c r="C377">
        <v>59</v>
      </c>
      <c r="D377">
        <v>156379</v>
      </c>
      <c r="E377">
        <v>750199</v>
      </c>
      <c r="F377">
        <v>11.91</v>
      </c>
      <c r="G377">
        <v>240</v>
      </c>
      <c r="H377">
        <v>777</v>
      </c>
      <c r="I377" t="s">
        <v>31</v>
      </c>
      <c r="J377" t="s">
        <v>16</v>
      </c>
      <c r="K377">
        <v>8213</v>
      </c>
      <c r="L377" t="s">
        <v>17</v>
      </c>
      <c r="M377" s="8">
        <v>45261</v>
      </c>
      <c r="N377" t="str">
        <f>_xlfn.XLOOKUP(B377,Customer_Master!A:A,Customer_Master!C:C,"Not Found")</f>
        <v>Mumbai</v>
      </c>
      <c r="O377" t="str">
        <f>_xlfn.XLOOKUP(B377,Customer_Master!A:A,Customer_Master!D:D,"Not Found")</f>
        <v>Business Owner</v>
      </c>
      <c r="P377" t="str">
        <f>_xlfn.XLOOKUP(B377,Customer_Master!A:A,Customer_Master!E:E,"Not Found")</f>
        <v>High</v>
      </c>
      <c r="Q377" t="str" cm="1">
        <f t="array" ref="Q377">_xlfn.IFS(H377&lt;600,"High Risk",H377&lt;=750,"Medium Risk",TRUE,"Low Risk")</f>
        <v>Low Risk</v>
      </c>
    </row>
    <row r="378" spans="1:17" x14ac:dyDescent="0.3">
      <c r="A378" t="s">
        <v>578</v>
      </c>
      <c r="B378" t="s">
        <v>131</v>
      </c>
      <c r="C378">
        <v>29</v>
      </c>
      <c r="D378">
        <v>53435</v>
      </c>
      <c r="E378">
        <v>474437</v>
      </c>
      <c r="F378">
        <v>15.72</v>
      </c>
      <c r="G378">
        <v>12</v>
      </c>
      <c r="H378">
        <v>758</v>
      </c>
      <c r="I378" t="s">
        <v>20</v>
      </c>
      <c r="J378" t="s">
        <v>21</v>
      </c>
      <c r="K378">
        <v>42983</v>
      </c>
      <c r="L378" t="s">
        <v>22</v>
      </c>
      <c r="M378" s="8">
        <v>44800</v>
      </c>
      <c r="N378" t="str">
        <f>_xlfn.XLOOKUP(B378,Customer_Master!A:A,Customer_Master!C:C,"Not Found")</f>
        <v>Pune</v>
      </c>
      <c r="O378" t="str">
        <f>_xlfn.XLOOKUP(B378,Customer_Master!A:A,Customer_Master!D:D,"Not Found")</f>
        <v>Self-Employed</v>
      </c>
      <c r="P378" t="str">
        <f>_xlfn.XLOOKUP(B378,Customer_Master!A:A,Customer_Master!E:E,"Not Found")</f>
        <v>Medium</v>
      </c>
      <c r="Q378" t="str" cm="1">
        <f t="array" ref="Q378">_xlfn.IFS(H378&lt;600,"High Risk",H378&lt;=750,"Medium Risk",TRUE,"Low Risk")</f>
        <v>Low Risk</v>
      </c>
    </row>
    <row r="379" spans="1:17" x14ac:dyDescent="0.3">
      <c r="A379" t="s">
        <v>579</v>
      </c>
      <c r="B379" t="s">
        <v>117</v>
      </c>
      <c r="C379">
        <v>59</v>
      </c>
      <c r="D379">
        <v>45369</v>
      </c>
      <c r="E379">
        <v>1427660</v>
      </c>
      <c r="F379">
        <v>11.19</v>
      </c>
      <c r="G379">
        <v>240</v>
      </c>
      <c r="H379">
        <v>668</v>
      </c>
      <c r="I379" t="s">
        <v>31</v>
      </c>
      <c r="J379" t="s">
        <v>21</v>
      </c>
      <c r="K379">
        <v>14921</v>
      </c>
      <c r="L379" t="s">
        <v>22</v>
      </c>
      <c r="M379" s="8">
        <v>45293</v>
      </c>
      <c r="N379" t="str">
        <f>_xlfn.XLOOKUP(B379,Customer_Master!A:A,Customer_Master!C:C,"Not Found")</f>
        <v>Hyderabad</v>
      </c>
      <c r="O379" t="str">
        <f>_xlfn.XLOOKUP(B379,Customer_Master!A:A,Customer_Master!D:D,"Not Found")</f>
        <v>Business Owner</v>
      </c>
      <c r="P379" t="str">
        <f>_xlfn.XLOOKUP(B379,Customer_Master!A:A,Customer_Master!E:E,"Not Found")</f>
        <v>High</v>
      </c>
      <c r="Q379" t="str" cm="1">
        <f t="array" ref="Q379">_xlfn.IFS(H379&lt;600,"High Risk",H379&lt;=750,"Medium Risk",TRUE,"Low Risk")</f>
        <v>Medium Risk</v>
      </c>
    </row>
    <row r="380" spans="1:17" x14ac:dyDescent="0.3">
      <c r="A380" t="s">
        <v>580</v>
      </c>
      <c r="B380" t="s">
        <v>43</v>
      </c>
      <c r="C380">
        <v>24</v>
      </c>
      <c r="D380">
        <v>61732</v>
      </c>
      <c r="E380">
        <v>1820128</v>
      </c>
      <c r="F380">
        <v>7.54</v>
      </c>
      <c r="G380">
        <v>48</v>
      </c>
      <c r="H380">
        <v>667</v>
      </c>
      <c r="I380" t="s">
        <v>27</v>
      </c>
      <c r="J380" t="s">
        <v>21</v>
      </c>
      <c r="K380">
        <v>44043</v>
      </c>
      <c r="L380" t="s">
        <v>22</v>
      </c>
      <c r="M380" s="8">
        <v>44684</v>
      </c>
      <c r="N380" t="str">
        <f>_xlfn.XLOOKUP(B380,Customer_Master!A:A,Customer_Master!C:C,"Not Found")</f>
        <v>Chennai</v>
      </c>
      <c r="O380" t="str">
        <f>_xlfn.XLOOKUP(B380,Customer_Master!A:A,Customer_Master!D:D,"Not Found")</f>
        <v>Business Owner</v>
      </c>
      <c r="P380" t="str">
        <f>_xlfn.XLOOKUP(B380,Customer_Master!A:A,Customer_Master!E:E,"Not Found")</f>
        <v>Low</v>
      </c>
      <c r="Q380" t="str" cm="1">
        <f t="array" ref="Q380">_xlfn.IFS(H380&lt;600,"High Risk",H380&lt;=750,"Medium Risk",TRUE,"Low Risk")</f>
        <v>Medium Risk</v>
      </c>
    </row>
    <row r="381" spans="1:17" x14ac:dyDescent="0.3">
      <c r="A381" t="s">
        <v>581</v>
      </c>
      <c r="B381" t="s">
        <v>582</v>
      </c>
      <c r="C381">
        <v>40</v>
      </c>
      <c r="D381">
        <v>156228</v>
      </c>
      <c r="E381">
        <v>779098</v>
      </c>
      <c r="F381">
        <v>9.6999999999999993</v>
      </c>
      <c r="G381">
        <v>24</v>
      </c>
      <c r="H381">
        <v>706</v>
      </c>
      <c r="I381" t="s">
        <v>31</v>
      </c>
      <c r="J381" t="s">
        <v>28</v>
      </c>
      <c r="K381">
        <v>35844</v>
      </c>
      <c r="L381" t="s">
        <v>22</v>
      </c>
      <c r="M381" s="8">
        <v>45560</v>
      </c>
      <c r="N381" t="str">
        <f>_xlfn.XLOOKUP(B381,Customer_Master!A:A,Customer_Master!C:C,"Not Found")</f>
        <v>Bangalore</v>
      </c>
      <c r="O381" t="str">
        <f>_xlfn.XLOOKUP(B381,Customer_Master!A:A,Customer_Master!D:D,"Not Found")</f>
        <v>Salaried</v>
      </c>
      <c r="P381" t="str">
        <f>_xlfn.XLOOKUP(B381,Customer_Master!A:A,Customer_Master!E:E,"Not Found")</f>
        <v>Medium</v>
      </c>
      <c r="Q381" t="str" cm="1">
        <f t="array" ref="Q381">_xlfn.IFS(H381&lt;600,"High Risk",H381&lt;=750,"Medium Risk",TRUE,"Low Risk")</f>
        <v>Medium Risk</v>
      </c>
    </row>
    <row r="382" spans="1:17" x14ac:dyDescent="0.3">
      <c r="A382" t="s">
        <v>583</v>
      </c>
      <c r="B382" t="s">
        <v>574</v>
      </c>
      <c r="C382">
        <v>40</v>
      </c>
      <c r="D382">
        <v>51072</v>
      </c>
      <c r="E382">
        <v>1529260</v>
      </c>
      <c r="F382">
        <v>16.41</v>
      </c>
      <c r="G382">
        <v>120</v>
      </c>
      <c r="H382">
        <v>534</v>
      </c>
      <c r="I382" t="s">
        <v>27</v>
      </c>
      <c r="J382" t="s">
        <v>16</v>
      </c>
      <c r="K382">
        <v>26009</v>
      </c>
      <c r="L382" t="s">
        <v>22</v>
      </c>
      <c r="M382" s="8">
        <v>44573</v>
      </c>
      <c r="N382" t="str">
        <f>_xlfn.XLOOKUP(B382,Customer_Master!A:A,Customer_Master!C:C,"Not Found")</f>
        <v>Mumbai</v>
      </c>
      <c r="O382" t="str">
        <f>_xlfn.XLOOKUP(B382,Customer_Master!A:A,Customer_Master!D:D,"Not Found")</f>
        <v>Self-Employed</v>
      </c>
      <c r="P382" t="str">
        <f>_xlfn.XLOOKUP(B382,Customer_Master!A:A,Customer_Master!E:E,"Not Found")</f>
        <v>Low</v>
      </c>
      <c r="Q382" t="str" cm="1">
        <f t="array" ref="Q382">_xlfn.IFS(H382&lt;600,"High Risk",H382&lt;=750,"Medium Risk",TRUE,"Low Risk")</f>
        <v>High Risk</v>
      </c>
    </row>
    <row r="383" spans="1:17" x14ac:dyDescent="0.3">
      <c r="A383" t="s">
        <v>584</v>
      </c>
      <c r="B383" t="s">
        <v>430</v>
      </c>
      <c r="C383">
        <v>52</v>
      </c>
      <c r="D383">
        <v>94152</v>
      </c>
      <c r="E383">
        <v>462620</v>
      </c>
      <c r="F383">
        <v>15.57</v>
      </c>
      <c r="G383">
        <v>120</v>
      </c>
      <c r="H383">
        <v>620</v>
      </c>
      <c r="I383" t="s">
        <v>31</v>
      </c>
      <c r="J383" t="s">
        <v>28</v>
      </c>
      <c r="K383">
        <v>7626</v>
      </c>
      <c r="L383" t="s">
        <v>22</v>
      </c>
      <c r="M383" s="8">
        <v>44649</v>
      </c>
      <c r="N383" t="str">
        <f>_xlfn.XLOOKUP(B383,Customer_Master!A:A,Customer_Master!C:C,"Not Found")</f>
        <v>Delhi</v>
      </c>
      <c r="O383" t="str">
        <f>_xlfn.XLOOKUP(B383,Customer_Master!A:A,Customer_Master!D:D,"Not Found")</f>
        <v>Self-Employed</v>
      </c>
      <c r="P383" t="str">
        <f>_xlfn.XLOOKUP(B383,Customer_Master!A:A,Customer_Master!E:E,"Not Found")</f>
        <v>High</v>
      </c>
      <c r="Q383" t="str" cm="1">
        <f t="array" ref="Q383">_xlfn.IFS(H383&lt;600,"High Risk",H383&lt;=750,"Medium Risk",TRUE,"Low Risk")</f>
        <v>Medium Risk</v>
      </c>
    </row>
    <row r="384" spans="1:17" x14ac:dyDescent="0.3">
      <c r="A384" t="s">
        <v>585</v>
      </c>
      <c r="B384" t="s">
        <v>125</v>
      </c>
      <c r="C384">
        <v>60</v>
      </c>
      <c r="D384">
        <v>173680</v>
      </c>
      <c r="E384">
        <v>1569372</v>
      </c>
      <c r="F384">
        <v>14.91</v>
      </c>
      <c r="G384">
        <v>24</v>
      </c>
      <c r="H384">
        <v>792</v>
      </c>
      <c r="I384" t="s">
        <v>20</v>
      </c>
      <c r="J384" t="s">
        <v>28</v>
      </c>
      <c r="K384">
        <v>76026</v>
      </c>
      <c r="L384" t="s">
        <v>22</v>
      </c>
      <c r="M384" s="8">
        <v>44801</v>
      </c>
      <c r="N384" t="str">
        <f>_xlfn.XLOOKUP(B384,Customer_Master!A:A,Customer_Master!C:C,"Not Found")</f>
        <v>Delhi</v>
      </c>
      <c r="O384" t="str">
        <f>_xlfn.XLOOKUP(B384,Customer_Master!A:A,Customer_Master!D:D,"Not Found")</f>
        <v>Salaried</v>
      </c>
      <c r="P384" t="str">
        <f>_xlfn.XLOOKUP(B384,Customer_Master!A:A,Customer_Master!E:E,"Not Found")</f>
        <v>Low</v>
      </c>
      <c r="Q384" t="str" cm="1">
        <f t="array" ref="Q384">_xlfn.IFS(H384&lt;600,"High Risk",H384&lt;=750,"Medium Risk",TRUE,"Low Risk")</f>
        <v>Low Risk</v>
      </c>
    </row>
    <row r="385" spans="1:17" x14ac:dyDescent="0.3">
      <c r="A385" t="s">
        <v>586</v>
      </c>
      <c r="B385" t="s">
        <v>587</v>
      </c>
      <c r="C385">
        <v>25</v>
      </c>
      <c r="D385">
        <v>77869</v>
      </c>
      <c r="E385">
        <v>714636</v>
      </c>
      <c r="F385">
        <v>15.49</v>
      </c>
      <c r="G385">
        <v>180</v>
      </c>
      <c r="H385">
        <v>810</v>
      </c>
      <c r="I385" t="s">
        <v>20</v>
      </c>
      <c r="J385" t="s">
        <v>28</v>
      </c>
      <c r="K385">
        <v>10243</v>
      </c>
      <c r="L385" t="s">
        <v>17</v>
      </c>
      <c r="M385" s="8">
        <v>45144</v>
      </c>
      <c r="N385" t="str">
        <f>_xlfn.XLOOKUP(B385,Customer_Master!A:A,Customer_Master!C:C,"Not Found")</f>
        <v>Pune</v>
      </c>
      <c r="O385" t="str">
        <f>_xlfn.XLOOKUP(B385,Customer_Master!A:A,Customer_Master!D:D,"Not Found")</f>
        <v>Business Owner</v>
      </c>
      <c r="P385" t="str">
        <f>_xlfn.XLOOKUP(B385,Customer_Master!A:A,Customer_Master!E:E,"Not Found")</f>
        <v>High</v>
      </c>
      <c r="Q385" t="str" cm="1">
        <f t="array" ref="Q385">_xlfn.IFS(H385&lt;600,"High Risk",H385&lt;=750,"Medium Risk",TRUE,"Low Risk")</f>
        <v>Low Risk</v>
      </c>
    </row>
    <row r="386" spans="1:17" x14ac:dyDescent="0.3">
      <c r="A386" t="s">
        <v>588</v>
      </c>
      <c r="B386" t="s">
        <v>355</v>
      </c>
      <c r="C386">
        <v>45</v>
      </c>
      <c r="D386">
        <v>42102</v>
      </c>
      <c r="E386">
        <v>604472</v>
      </c>
      <c r="F386">
        <v>14.93</v>
      </c>
      <c r="G386">
        <v>120</v>
      </c>
      <c r="H386">
        <v>757</v>
      </c>
      <c r="I386" t="s">
        <v>15</v>
      </c>
      <c r="J386" t="s">
        <v>16</v>
      </c>
      <c r="K386">
        <v>9726</v>
      </c>
      <c r="L386" t="s">
        <v>22</v>
      </c>
      <c r="M386" s="8">
        <v>45086</v>
      </c>
      <c r="N386" t="str">
        <f>_xlfn.XLOOKUP(B386,Customer_Master!A:A,Customer_Master!C:C,"Not Found")</f>
        <v>Bangalore</v>
      </c>
      <c r="O386" t="str">
        <f>_xlfn.XLOOKUP(B386,Customer_Master!A:A,Customer_Master!D:D,"Not Found")</f>
        <v>Salaried</v>
      </c>
      <c r="P386" t="str">
        <f>_xlfn.XLOOKUP(B386,Customer_Master!A:A,Customer_Master!E:E,"Not Found")</f>
        <v>Low</v>
      </c>
      <c r="Q386" t="str" cm="1">
        <f t="array" ref="Q386">_xlfn.IFS(H386&lt;600,"High Risk",H386&lt;=750,"Medium Risk",TRUE,"Low Risk")</f>
        <v>Low Risk</v>
      </c>
    </row>
    <row r="387" spans="1:17" x14ac:dyDescent="0.3">
      <c r="A387" t="s">
        <v>589</v>
      </c>
      <c r="B387" t="s">
        <v>82</v>
      </c>
      <c r="C387">
        <v>29</v>
      </c>
      <c r="D387">
        <v>72998</v>
      </c>
      <c r="E387">
        <v>403870</v>
      </c>
      <c r="F387">
        <v>10.16</v>
      </c>
      <c r="G387">
        <v>60</v>
      </c>
      <c r="H387">
        <v>507</v>
      </c>
      <c r="I387" t="s">
        <v>15</v>
      </c>
      <c r="J387" t="s">
        <v>39</v>
      </c>
      <c r="K387">
        <v>8613</v>
      </c>
      <c r="L387" t="s">
        <v>17</v>
      </c>
      <c r="M387" s="8">
        <v>45334</v>
      </c>
      <c r="N387" t="str">
        <f>_xlfn.XLOOKUP(B387,Customer_Master!A:A,Customer_Master!C:C,"Not Found")</f>
        <v>Pune</v>
      </c>
      <c r="O387" t="str">
        <f>_xlfn.XLOOKUP(B387,Customer_Master!A:A,Customer_Master!D:D,"Not Found")</f>
        <v>Self-Employed</v>
      </c>
      <c r="P387" t="str">
        <f>_xlfn.XLOOKUP(B387,Customer_Master!A:A,Customer_Master!E:E,"Not Found")</f>
        <v>Medium</v>
      </c>
      <c r="Q387" t="str" cm="1">
        <f t="array" ref="Q387">_xlfn.IFS(H387&lt;600,"High Risk",H387&lt;=750,"Medium Risk",TRUE,"Low Risk")</f>
        <v>High Risk</v>
      </c>
    </row>
    <row r="388" spans="1:17" x14ac:dyDescent="0.3">
      <c r="A388" t="s">
        <v>590</v>
      </c>
      <c r="B388" t="s">
        <v>88</v>
      </c>
      <c r="C388">
        <v>48</v>
      </c>
      <c r="D388">
        <v>162677</v>
      </c>
      <c r="E388">
        <v>1131281</v>
      </c>
      <c r="F388">
        <v>8.9</v>
      </c>
      <c r="G388">
        <v>48</v>
      </c>
      <c r="H388">
        <v>501</v>
      </c>
      <c r="I388" t="s">
        <v>27</v>
      </c>
      <c r="J388" t="s">
        <v>16</v>
      </c>
      <c r="K388">
        <v>28098</v>
      </c>
      <c r="L388" t="s">
        <v>22</v>
      </c>
      <c r="M388" s="8">
        <v>45526</v>
      </c>
      <c r="N388" t="str">
        <f>_xlfn.XLOOKUP(B388,Customer_Master!A:A,Customer_Master!C:C,"Not Found")</f>
        <v>Mumbai</v>
      </c>
      <c r="O388" t="str">
        <f>_xlfn.XLOOKUP(B388,Customer_Master!A:A,Customer_Master!D:D,"Not Found")</f>
        <v>Salaried</v>
      </c>
      <c r="P388" t="str">
        <f>_xlfn.XLOOKUP(B388,Customer_Master!A:A,Customer_Master!E:E,"Not Found")</f>
        <v>Low</v>
      </c>
      <c r="Q388" t="str" cm="1">
        <f t="array" ref="Q388">_xlfn.IFS(H388&lt;600,"High Risk",H388&lt;=750,"Medium Risk",TRUE,"Low Risk")</f>
        <v>High Risk</v>
      </c>
    </row>
    <row r="389" spans="1:17" x14ac:dyDescent="0.3">
      <c r="A389" t="s">
        <v>591</v>
      </c>
      <c r="B389" t="s">
        <v>317</v>
      </c>
      <c r="C389">
        <v>32</v>
      </c>
      <c r="D389">
        <v>64361</v>
      </c>
      <c r="E389">
        <v>1014930</v>
      </c>
      <c r="F389">
        <v>10.9</v>
      </c>
      <c r="G389">
        <v>36</v>
      </c>
      <c r="H389">
        <v>725</v>
      </c>
      <c r="I389" t="s">
        <v>15</v>
      </c>
      <c r="J389" t="s">
        <v>21</v>
      </c>
      <c r="K389">
        <v>33179</v>
      </c>
      <c r="L389" t="s">
        <v>17</v>
      </c>
      <c r="M389" s="8">
        <v>44887</v>
      </c>
      <c r="N389" t="str">
        <f>_xlfn.XLOOKUP(B389,Customer_Master!A:A,Customer_Master!C:C,"Not Found")</f>
        <v>Chennai</v>
      </c>
      <c r="O389" t="str">
        <f>_xlfn.XLOOKUP(B389,Customer_Master!A:A,Customer_Master!D:D,"Not Found")</f>
        <v>Salaried</v>
      </c>
      <c r="P389" t="str">
        <f>_xlfn.XLOOKUP(B389,Customer_Master!A:A,Customer_Master!E:E,"Not Found")</f>
        <v>Low</v>
      </c>
      <c r="Q389" t="str" cm="1">
        <f t="array" ref="Q389">_xlfn.IFS(H389&lt;600,"High Risk",H389&lt;=750,"Medium Risk",TRUE,"Low Risk")</f>
        <v>Medium Risk</v>
      </c>
    </row>
    <row r="390" spans="1:17" x14ac:dyDescent="0.3">
      <c r="A390" t="s">
        <v>592</v>
      </c>
      <c r="B390" t="s">
        <v>593</v>
      </c>
      <c r="C390">
        <v>31</v>
      </c>
      <c r="D390">
        <v>116360</v>
      </c>
      <c r="E390">
        <v>942001</v>
      </c>
      <c r="F390">
        <v>10.23</v>
      </c>
      <c r="G390">
        <v>24</v>
      </c>
      <c r="H390">
        <v>744</v>
      </c>
      <c r="I390" t="s">
        <v>27</v>
      </c>
      <c r="J390" t="s">
        <v>21</v>
      </c>
      <c r="K390">
        <v>43569</v>
      </c>
      <c r="L390" t="s">
        <v>22</v>
      </c>
      <c r="M390" s="8">
        <v>44838</v>
      </c>
      <c r="N390" t="str">
        <f>_xlfn.XLOOKUP(B390,Customer_Master!A:A,Customer_Master!C:C,"Not Found")</f>
        <v>Mumbai</v>
      </c>
      <c r="O390" t="str">
        <f>_xlfn.XLOOKUP(B390,Customer_Master!A:A,Customer_Master!D:D,"Not Found")</f>
        <v>Business Owner</v>
      </c>
      <c r="P390" t="str">
        <f>_xlfn.XLOOKUP(B390,Customer_Master!A:A,Customer_Master!E:E,"Not Found")</f>
        <v>High</v>
      </c>
      <c r="Q390" t="str" cm="1">
        <f t="array" ref="Q390">_xlfn.IFS(H390&lt;600,"High Risk",H390&lt;=750,"Medium Risk",TRUE,"Low Risk")</f>
        <v>Medium Risk</v>
      </c>
    </row>
    <row r="391" spans="1:17" x14ac:dyDescent="0.3">
      <c r="A391" t="s">
        <v>594</v>
      </c>
      <c r="B391" t="s">
        <v>201</v>
      </c>
      <c r="C391">
        <v>49</v>
      </c>
      <c r="D391">
        <v>186158</v>
      </c>
      <c r="E391">
        <v>825266</v>
      </c>
      <c r="F391">
        <v>15.64</v>
      </c>
      <c r="G391">
        <v>12</v>
      </c>
      <c r="H391">
        <v>664</v>
      </c>
      <c r="I391" t="s">
        <v>15</v>
      </c>
      <c r="J391" t="s">
        <v>39</v>
      </c>
      <c r="K391">
        <v>74737</v>
      </c>
      <c r="L391" t="s">
        <v>22</v>
      </c>
      <c r="M391" s="8">
        <v>45374</v>
      </c>
      <c r="N391" t="str">
        <f>_xlfn.XLOOKUP(B391,Customer_Master!A:A,Customer_Master!C:C,"Not Found")</f>
        <v>Pune</v>
      </c>
      <c r="O391" t="str">
        <f>_xlfn.XLOOKUP(B391,Customer_Master!A:A,Customer_Master!D:D,"Not Found")</f>
        <v>Business Owner</v>
      </c>
      <c r="P391" t="str">
        <f>_xlfn.XLOOKUP(B391,Customer_Master!A:A,Customer_Master!E:E,"Not Found")</f>
        <v>Medium</v>
      </c>
      <c r="Q391" t="str" cm="1">
        <f t="array" ref="Q391">_xlfn.IFS(H391&lt;600,"High Risk",H391&lt;=750,"Medium Risk",TRUE,"Low Risk")</f>
        <v>Medium Risk</v>
      </c>
    </row>
    <row r="392" spans="1:17" x14ac:dyDescent="0.3">
      <c r="A392" t="s">
        <v>595</v>
      </c>
      <c r="B392" t="s">
        <v>49</v>
      </c>
      <c r="C392">
        <v>50</v>
      </c>
      <c r="D392">
        <v>138282</v>
      </c>
      <c r="E392">
        <v>430192</v>
      </c>
      <c r="F392">
        <v>9.57</v>
      </c>
      <c r="G392">
        <v>120</v>
      </c>
      <c r="H392">
        <v>597</v>
      </c>
      <c r="I392" t="s">
        <v>31</v>
      </c>
      <c r="J392" t="s">
        <v>16</v>
      </c>
      <c r="K392">
        <v>5583</v>
      </c>
      <c r="L392" t="s">
        <v>17</v>
      </c>
      <c r="M392" s="8">
        <v>45536</v>
      </c>
      <c r="N392" t="str">
        <f>_xlfn.XLOOKUP(B392,Customer_Master!A:A,Customer_Master!C:C,"Not Found")</f>
        <v>Mumbai</v>
      </c>
      <c r="O392" t="str">
        <f>_xlfn.XLOOKUP(B392,Customer_Master!A:A,Customer_Master!D:D,"Not Found")</f>
        <v>Salaried</v>
      </c>
      <c r="P392" t="str">
        <f>_xlfn.XLOOKUP(B392,Customer_Master!A:A,Customer_Master!E:E,"Not Found")</f>
        <v>Low</v>
      </c>
      <c r="Q392" t="str" cm="1">
        <f t="array" ref="Q392">_xlfn.IFS(H392&lt;600,"High Risk",H392&lt;=750,"Medium Risk",TRUE,"Low Risk")</f>
        <v>High Risk</v>
      </c>
    </row>
    <row r="393" spans="1:17" x14ac:dyDescent="0.3">
      <c r="A393" t="s">
        <v>596</v>
      </c>
      <c r="B393" t="s">
        <v>597</v>
      </c>
      <c r="C393">
        <v>52</v>
      </c>
      <c r="D393">
        <v>69073</v>
      </c>
      <c r="E393">
        <v>1967787</v>
      </c>
      <c r="F393">
        <v>11.36</v>
      </c>
      <c r="G393">
        <v>48</v>
      </c>
      <c r="H393">
        <v>690</v>
      </c>
      <c r="I393" t="s">
        <v>20</v>
      </c>
      <c r="J393" t="s">
        <v>21</v>
      </c>
      <c r="K393">
        <v>51203</v>
      </c>
      <c r="L393" t="s">
        <v>22</v>
      </c>
      <c r="M393" s="8">
        <v>44731</v>
      </c>
      <c r="N393" t="str">
        <f>_xlfn.XLOOKUP(B393,Customer_Master!A:A,Customer_Master!C:C,"Not Found")</f>
        <v>Hyderabad</v>
      </c>
      <c r="O393" t="str">
        <f>_xlfn.XLOOKUP(B393,Customer_Master!A:A,Customer_Master!D:D,"Not Found")</f>
        <v>Business Owner</v>
      </c>
      <c r="P393" t="str">
        <f>_xlfn.XLOOKUP(B393,Customer_Master!A:A,Customer_Master!E:E,"Not Found")</f>
        <v>High</v>
      </c>
      <c r="Q393" t="str" cm="1">
        <f t="array" ref="Q393">_xlfn.IFS(H393&lt;600,"High Risk",H393&lt;=750,"Medium Risk",TRUE,"Low Risk")</f>
        <v>Medium Risk</v>
      </c>
    </row>
    <row r="394" spans="1:17" x14ac:dyDescent="0.3">
      <c r="A394" t="s">
        <v>598</v>
      </c>
      <c r="B394" t="s">
        <v>224</v>
      </c>
      <c r="C394">
        <v>59</v>
      </c>
      <c r="D394">
        <v>46833</v>
      </c>
      <c r="E394">
        <v>1361046</v>
      </c>
      <c r="F394">
        <v>13.15</v>
      </c>
      <c r="G394">
        <v>120</v>
      </c>
      <c r="H394">
        <v>713</v>
      </c>
      <c r="I394" t="s">
        <v>31</v>
      </c>
      <c r="J394" t="s">
        <v>28</v>
      </c>
      <c r="K394">
        <v>20442</v>
      </c>
      <c r="L394" t="s">
        <v>22</v>
      </c>
      <c r="M394" s="8">
        <v>45292</v>
      </c>
      <c r="N394" t="str">
        <f>_xlfn.XLOOKUP(B394,Customer_Master!A:A,Customer_Master!C:C,"Not Found")</f>
        <v>Hyderabad</v>
      </c>
      <c r="O394" t="str">
        <f>_xlfn.XLOOKUP(B394,Customer_Master!A:A,Customer_Master!D:D,"Not Found")</f>
        <v>Business Owner</v>
      </c>
      <c r="P394" t="str">
        <f>_xlfn.XLOOKUP(B394,Customer_Master!A:A,Customer_Master!E:E,"Not Found")</f>
        <v>Low</v>
      </c>
      <c r="Q394" t="str" cm="1">
        <f t="array" ref="Q394">_xlfn.IFS(H394&lt;600,"High Risk",H394&lt;=750,"Medium Risk",TRUE,"Low Risk")</f>
        <v>Medium Risk</v>
      </c>
    </row>
    <row r="395" spans="1:17" x14ac:dyDescent="0.3">
      <c r="A395" t="s">
        <v>599</v>
      </c>
      <c r="B395" t="s">
        <v>71</v>
      </c>
      <c r="C395">
        <v>26</v>
      </c>
      <c r="D395">
        <v>157580</v>
      </c>
      <c r="E395">
        <v>468501</v>
      </c>
      <c r="F395">
        <v>12.12</v>
      </c>
      <c r="G395">
        <v>36</v>
      </c>
      <c r="H395">
        <v>611</v>
      </c>
      <c r="I395" t="s">
        <v>27</v>
      </c>
      <c r="J395" t="s">
        <v>39</v>
      </c>
      <c r="K395">
        <v>15588</v>
      </c>
      <c r="L395" t="s">
        <v>22</v>
      </c>
      <c r="M395" s="8">
        <v>45008</v>
      </c>
      <c r="N395" t="str">
        <f>_xlfn.XLOOKUP(B395,Customer_Master!A:A,Customer_Master!C:C,"Not Found")</f>
        <v>Pune</v>
      </c>
      <c r="O395" t="str">
        <f>_xlfn.XLOOKUP(B395,Customer_Master!A:A,Customer_Master!D:D,"Not Found")</f>
        <v>Salaried</v>
      </c>
      <c r="P395" t="str">
        <f>_xlfn.XLOOKUP(B395,Customer_Master!A:A,Customer_Master!E:E,"Not Found")</f>
        <v>Medium</v>
      </c>
      <c r="Q395" t="str" cm="1">
        <f t="array" ref="Q395">_xlfn.IFS(H395&lt;600,"High Risk",H395&lt;=750,"Medium Risk",TRUE,"Low Risk")</f>
        <v>Medium Risk</v>
      </c>
    </row>
    <row r="396" spans="1:17" x14ac:dyDescent="0.3">
      <c r="A396" t="s">
        <v>600</v>
      </c>
      <c r="B396" t="s">
        <v>396</v>
      </c>
      <c r="C396">
        <v>51</v>
      </c>
      <c r="D396">
        <v>118808</v>
      </c>
      <c r="E396">
        <v>1326611</v>
      </c>
      <c r="F396">
        <v>12.92</v>
      </c>
      <c r="G396">
        <v>120</v>
      </c>
      <c r="H396">
        <v>591</v>
      </c>
      <c r="I396" t="s">
        <v>15</v>
      </c>
      <c r="J396" t="s">
        <v>28</v>
      </c>
      <c r="K396">
        <v>19745</v>
      </c>
      <c r="L396" t="s">
        <v>22</v>
      </c>
      <c r="M396" s="8">
        <v>44569</v>
      </c>
      <c r="N396" t="str">
        <f>_xlfn.XLOOKUP(B396,Customer_Master!A:A,Customer_Master!C:C,"Not Found")</f>
        <v>Hyderabad</v>
      </c>
      <c r="O396" t="str">
        <f>_xlfn.XLOOKUP(B396,Customer_Master!A:A,Customer_Master!D:D,"Not Found")</f>
        <v>Salaried</v>
      </c>
      <c r="P396" t="str">
        <f>_xlfn.XLOOKUP(B396,Customer_Master!A:A,Customer_Master!E:E,"Not Found")</f>
        <v>High</v>
      </c>
      <c r="Q396" t="str" cm="1">
        <f t="array" ref="Q396">_xlfn.IFS(H396&lt;600,"High Risk",H396&lt;=750,"Medium Risk",TRUE,"Low Risk")</f>
        <v>High Risk</v>
      </c>
    </row>
    <row r="397" spans="1:17" x14ac:dyDescent="0.3">
      <c r="A397" t="s">
        <v>601</v>
      </c>
      <c r="B397" t="s">
        <v>396</v>
      </c>
      <c r="C397">
        <v>56</v>
      </c>
      <c r="D397">
        <v>174553</v>
      </c>
      <c r="E397">
        <v>1375725</v>
      </c>
      <c r="F397">
        <v>10.55</v>
      </c>
      <c r="G397">
        <v>24</v>
      </c>
      <c r="H397">
        <v>588</v>
      </c>
      <c r="I397" t="s">
        <v>20</v>
      </c>
      <c r="J397" t="s">
        <v>21</v>
      </c>
      <c r="K397">
        <v>63833</v>
      </c>
      <c r="L397" t="s">
        <v>17</v>
      </c>
      <c r="M397" s="8">
        <v>44667</v>
      </c>
      <c r="N397" t="str">
        <f>_xlfn.XLOOKUP(B397,Customer_Master!A:A,Customer_Master!C:C,"Not Found")</f>
        <v>Hyderabad</v>
      </c>
      <c r="O397" t="str">
        <f>_xlfn.XLOOKUP(B397,Customer_Master!A:A,Customer_Master!D:D,"Not Found")</f>
        <v>Salaried</v>
      </c>
      <c r="P397" t="str">
        <f>_xlfn.XLOOKUP(B397,Customer_Master!A:A,Customer_Master!E:E,"Not Found")</f>
        <v>High</v>
      </c>
      <c r="Q397" t="str" cm="1">
        <f t="array" ref="Q397">_xlfn.IFS(H397&lt;600,"High Risk",H397&lt;=750,"Medium Risk",TRUE,"Low Risk")</f>
        <v>High Risk</v>
      </c>
    </row>
    <row r="398" spans="1:17" x14ac:dyDescent="0.3">
      <c r="A398" t="s">
        <v>602</v>
      </c>
      <c r="B398" t="s">
        <v>558</v>
      </c>
      <c r="C398">
        <v>45</v>
      </c>
      <c r="D398">
        <v>104705</v>
      </c>
      <c r="E398">
        <v>1086623</v>
      </c>
      <c r="F398">
        <v>13.16</v>
      </c>
      <c r="G398">
        <v>60</v>
      </c>
      <c r="H398">
        <v>490</v>
      </c>
      <c r="I398" t="s">
        <v>27</v>
      </c>
      <c r="J398" t="s">
        <v>39</v>
      </c>
      <c r="K398">
        <v>24813</v>
      </c>
      <c r="L398" t="s">
        <v>17</v>
      </c>
      <c r="M398" s="8">
        <v>45011</v>
      </c>
      <c r="N398" t="str">
        <f>_xlfn.XLOOKUP(B398,Customer_Master!A:A,Customer_Master!C:C,"Not Found")</f>
        <v>Delhi</v>
      </c>
      <c r="O398" t="str">
        <f>_xlfn.XLOOKUP(B398,Customer_Master!A:A,Customer_Master!D:D,"Not Found")</f>
        <v>Business Owner</v>
      </c>
      <c r="P398" t="str">
        <f>_xlfn.XLOOKUP(B398,Customer_Master!A:A,Customer_Master!E:E,"Not Found")</f>
        <v>Low</v>
      </c>
      <c r="Q398" t="str" cm="1">
        <f t="array" ref="Q398">_xlfn.IFS(H398&lt;600,"High Risk",H398&lt;=750,"Medium Risk",TRUE,"Low Risk")</f>
        <v>High Risk</v>
      </c>
    </row>
    <row r="399" spans="1:17" x14ac:dyDescent="0.3">
      <c r="A399" t="s">
        <v>603</v>
      </c>
      <c r="B399" t="s">
        <v>604</v>
      </c>
      <c r="C399">
        <v>27</v>
      </c>
      <c r="D399">
        <v>152311</v>
      </c>
      <c r="E399">
        <v>1656907</v>
      </c>
      <c r="F399">
        <v>15.86</v>
      </c>
      <c r="G399">
        <v>240</v>
      </c>
      <c r="H399">
        <v>517</v>
      </c>
      <c r="I399" t="s">
        <v>20</v>
      </c>
      <c r="J399" t="s">
        <v>28</v>
      </c>
      <c r="K399">
        <v>22878</v>
      </c>
      <c r="L399" t="s">
        <v>22</v>
      </c>
      <c r="M399" s="8">
        <v>44595</v>
      </c>
      <c r="N399" t="str">
        <f>_xlfn.XLOOKUP(B399,Customer_Master!A:A,Customer_Master!C:C,"Not Found")</f>
        <v>Pune</v>
      </c>
      <c r="O399" t="str">
        <f>_xlfn.XLOOKUP(B399,Customer_Master!A:A,Customer_Master!D:D,"Not Found")</f>
        <v>Self-Employed</v>
      </c>
      <c r="P399" t="str">
        <f>_xlfn.XLOOKUP(B399,Customer_Master!A:A,Customer_Master!E:E,"Not Found")</f>
        <v>Medium</v>
      </c>
      <c r="Q399" t="str" cm="1">
        <f t="array" ref="Q399">_xlfn.IFS(H399&lt;600,"High Risk",H399&lt;=750,"Medium Risk",TRUE,"Low Risk")</f>
        <v>High Risk</v>
      </c>
    </row>
    <row r="400" spans="1:17" x14ac:dyDescent="0.3">
      <c r="A400" t="s">
        <v>605</v>
      </c>
      <c r="B400" t="s">
        <v>107</v>
      </c>
      <c r="C400">
        <v>27</v>
      </c>
      <c r="D400">
        <v>134767</v>
      </c>
      <c r="E400">
        <v>875430</v>
      </c>
      <c r="F400">
        <v>11.27</v>
      </c>
      <c r="G400">
        <v>60</v>
      </c>
      <c r="H400">
        <v>848</v>
      </c>
      <c r="I400" t="s">
        <v>31</v>
      </c>
      <c r="J400" t="s">
        <v>39</v>
      </c>
      <c r="K400">
        <v>19152</v>
      </c>
      <c r="L400" t="s">
        <v>17</v>
      </c>
      <c r="M400" s="8">
        <v>44569</v>
      </c>
      <c r="N400" t="str">
        <f>_xlfn.XLOOKUP(B400,Customer_Master!A:A,Customer_Master!C:C,"Not Found")</f>
        <v>Chennai</v>
      </c>
      <c r="O400" t="str">
        <f>_xlfn.XLOOKUP(B400,Customer_Master!A:A,Customer_Master!D:D,"Not Found")</f>
        <v>Self-Employed</v>
      </c>
      <c r="P400" t="str">
        <f>_xlfn.XLOOKUP(B400,Customer_Master!A:A,Customer_Master!E:E,"Not Found")</f>
        <v>Medium</v>
      </c>
      <c r="Q400" t="str" cm="1">
        <f t="array" ref="Q400">_xlfn.IFS(H400&lt;600,"High Risk",H400&lt;=750,"Medium Risk",TRUE,"Low Risk")</f>
        <v>Low Risk</v>
      </c>
    </row>
    <row r="401" spans="1:17" x14ac:dyDescent="0.3">
      <c r="A401" t="s">
        <v>606</v>
      </c>
      <c r="B401" t="s">
        <v>607</v>
      </c>
      <c r="C401">
        <v>43</v>
      </c>
      <c r="D401">
        <v>33948</v>
      </c>
      <c r="E401">
        <v>474168</v>
      </c>
      <c r="F401">
        <v>7.79</v>
      </c>
      <c r="G401">
        <v>12</v>
      </c>
      <c r="H401">
        <v>722</v>
      </c>
      <c r="I401" t="s">
        <v>31</v>
      </c>
      <c r="J401" t="s">
        <v>16</v>
      </c>
      <c r="K401">
        <v>41201</v>
      </c>
      <c r="L401" t="s">
        <v>22</v>
      </c>
      <c r="M401" s="8">
        <v>44944</v>
      </c>
      <c r="N401" t="str">
        <f>_xlfn.XLOOKUP(B401,Customer_Master!A:A,Customer_Master!C:C,"Not Found")</f>
        <v>Mumbai</v>
      </c>
      <c r="O401" t="str">
        <f>_xlfn.XLOOKUP(B401,Customer_Master!A:A,Customer_Master!D:D,"Not Found")</f>
        <v>Business Owner</v>
      </c>
      <c r="P401" t="str">
        <f>_xlfn.XLOOKUP(B401,Customer_Master!A:A,Customer_Master!E:E,"Not Found")</f>
        <v>Low</v>
      </c>
      <c r="Q401" t="str" cm="1">
        <f t="array" ref="Q401">_xlfn.IFS(H401&lt;600,"High Risk",H401&lt;=750,"Medium Risk",TRUE,"Low Risk")</f>
        <v>Medium Risk</v>
      </c>
    </row>
    <row r="402" spans="1:17" x14ac:dyDescent="0.3">
      <c r="A402" t="s">
        <v>608</v>
      </c>
      <c r="B402" t="s">
        <v>517</v>
      </c>
      <c r="C402">
        <v>51</v>
      </c>
      <c r="D402">
        <v>70326</v>
      </c>
      <c r="E402">
        <v>1976646</v>
      </c>
      <c r="F402">
        <v>8.64</v>
      </c>
      <c r="G402">
        <v>120</v>
      </c>
      <c r="H402">
        <v>815</v>
      </c>
      <c r="I402" t="s">
        <v>27</v>
      </c>
      <c r="J402" t="s">
        <v>21</v>
      </c>
      <c r="K402">
        <v>24656</v>
      </c>
      <c r="L402" t="s">
        <v>22</v>
      </c>
      <c r="M402" s="8">
        <v>45019</v>
      </c>
      <c r="N402" t="str">
        <f>_xlfn.XLOOKUP(B402,Customer_Master!A:A,Customer_Master!C:C,"Not Found")</f>
        <v>Delhi</v>
      </c>
      <c r="O402" t="str">
        <f>_xlfn.XLOOKUP(B402,Customer_Master!A:A,Customer_Master!D:D,"Not Found")</f>
        <v>Self-Employed</v>
      </c>
      <c r="P402" t="str">
        <f>_xlfn.XLOOKUP(B402,Customer_Master!A:A,Customer_Master!E:E,"Not Found")</f>
        <v>High</v>
      </c>
      <c r="Q402" t="str" cm="1">
        <f t="array" ref="Q402">_xlfn.IFS(H402&lt;600,"High Risk",H402&lt;=750,"Medium Risk",TRUE,"Low Risk")</f>
        <v>Low Risk</v>
      </c>
    </row>
    <row r="403" spans="1:17" x14ac:dyDescent="0.3">
      <c r="A403" t="s">
        <v>609</v>
      </c>
      <c r="B403" t="s">
        <v>265</v>
      </c>
      <c r="C403">
        <v>28</v>
      </c>
      <c r="D403">
        <v>65011</v>
      </c>
      <c r="E403">
        <v>1779452</v>
      </c>
      <c r="F403">
        <v>11.25</v>
      </c>
      <c r="G403">
        <v>48</v>
      </c>
      <c r="H403">
        <v>712</v>
      </c>
      <c r="I403" t="s">
        <v>27</v>
      </c>
      <c r="J403" t="s">
        <v>21</v>
      </c>
      <c r="K403">
        <v>46207</v>
      </c>
      <c r="L403" t="s">
        <v>22</v>
      </c>
      <c r="M403" s="8">
        <v>45195</v>
      </c>
      <c r="N403" t="str">
        <f>_xlfn.XLOOKUP(B403,Customer_Master!A:A,Customer_Master!C:C,"Not Found")</f>
        <v>Bangalore</v>
      </c>
      <c r="O403" t="str">
        <f>_xlfn.XLOOKUP(B403,Customer_Master!A:A,Customer_Master!D:D,"Not Found")</f>
        <v>Business Owner</v>
      </c>
      <c r="P403" t="str">
        <f>_xlfn.XLOOKUP(B403,Customer_Master!A:A,Customer_Master!E:E,"Not Found")</f>
        <v>High</v>
      </c>
      <c r="Q403" t="str" cm="1">
        <f t="array" ref="Q403">_xlfn.IFS(H403&lt;600,"High Risk",H403&lt;=750,"Medium Risk",TRUE,"Low Risk")</f>
        <v>Medium Risk</v>
      </c>
    </row>
    <row r="404" spans="1:17" x14ac:dyDescent="0.3">
      <c r="A404" t="s">
        <v>610</v>
      </c>
      <c r="B404" t="s">
        <v>95</v>
      </c>
      <c r="C404">
        <v>30</v>
      </c>
      <c r="D404">
        <v>61543</v>
      </c>
      <c r="E404">
        <v>1704858</v>
      </c>
      <c r="F404">
        <v>9.6300000000000008</v>
      </c>
      <c r="G404">
        <v>240</v>
      </c>
      <c r="H404">
        <v>811</v>
      </c>
      <c r="I404" t="s">
        <v>20</v>
      </c>
      <c r="J404" t="s">
        <v>21</v>
      </c>
      <c r="K404">
        <v>16037</v>
      </c>
      <c r="L404" t="s">
        <v>22</v>
      </c>
      <c r="M404" s="8">
        <v>45213</v>
      </c>
      <c r="N404" t="str">
        <f>_xlfn.XLOOKUP(B404,Customer_Master!A:A,Customer_Master!C:C,"Not Found")</f>
        <v>Mumbai</v>
      </c>
      <c r="O404" t="str">
        <f>_xlfn.XLOOKUP(B404,Customer_Master!A:A,Customer_Master!D:D,"Not Found")</f>
        <v>Business Owner</v>
      </c>
      <c r="P404" t="str">
        <f>_xlfn.XLOOKUP(B404,Customer_Master!A:A,Customer_Master!E:E,"Not Found")</f>
        <v>Low</v>
      </c>
      <c r="Q404" t="str" cm="1">
        <f t="array" ref="Q404">_xlfn.IFS(H404&lt;600,"High Risk",H404&lt;=750,"Medium Risk",TRUE,"Low Risk")</f>
        <v>Low Risk</v>
      </c>
    </row>
    <row r="405" spans="1:17" x14ac:dyDescent="0.3">
      <c r="A405" t="s">
        <v>611</v>
      </c>
      <c r="B405" t="s">
        <v>558</v>
      </c>
      <c r="C405">
        <v>35</v>
      </c>
      <c r="D405">
        <v>142995</v>
      </c>
      <c r="E405">
        <v>1799800</v>
      </c>
      <c r="F405">
        <v>8.16</v>
      </c>
      <c r="G405">
        <v>12</v>
      </c>
      <c r="H405">
        <v>646</v>
      </c>
      <c r="I405" t="s">
        <v>20</v>
      </c>
      <c r="J405" t="s">
        <v>16</v>
      </c>
      <c r="K405">
        <v>156695</v>
      </c>
      <c r="L405" t="s">
        <v>17</v>
      </c>
      <c r="M405" s="8">
        <v>45063</v>
      </c>
      <c r="N405" t="str">
        <f>_xlfn.XLOOKUP(B405,Customer_Master!A:A,Customer_Master!C:C,"Not Found")</f>
        <v>Delhi</v>
      </c>
      <c r="O405" t="str">
        <f>_xlfn.XLOOKUP(B405,Customer_Master!A:A,Customer_Master!D:D,"Not Found")</f>
        <v>Business Owner</v>
      </c>
      <c r="P405" t="str">
        <f>_xlfn.XLOOKUP(B405,Customer_Master!A:A,Customer_Master!E:E,"Not Found")</f>
        <v>Low</v>
      </c>
      <c r="Q405" t="str" cm="1">
        <f t="array" ref="Q405">_xlfn.IFS(H405&lt;600,"High Risk",H405&lt;=750,"Medium Risk",TRUE,"Low Risk")</f>
        <v>Medium Risk</v>
      </c>
    </row>
    <row r="406" spans="1:17" x14ac:dyDescent="0.3">
      <c r="A406" t="s">
        <v>612</v>
      </c>
      <c r="B406" t="s">
        <v>107</v>
      </c>
      <c r="C406">
        <v>38</v>
      </c>
      <c r="D406">
        <v>85844</v>
      </c>
      <c r="E406">
        <v>1640957</v>
      </c>
      <c r="F406">
        <v>13.4</v>
      </c>
      <c r="G406">
        <v>36</v>
      </c>
      <c r="H406">
        <v>737</v>
      </c>
      <c r="I406" t="s">
        <v>15</v>
      </c>
      <c r="J406" t="s">
        <v>21</v>
      </c>
      <c r="K406">
        <v>55607</v>
      </c>
      <c r="L406" t="s">
        <v>17</v>
      </c>
      <c r="M406" s="8">
        <v>44698</v>
      </c>
      <c r="N406" t="str">
        <f>_xlfn.XLOOKUP(B406,Customer_Master!A:A,Customer_Master!C:C,"Not Found")</f>
        <v>Chennai</v>
      </c>
      <c r="O406" t="str">
        <f>_xlfn.XLOOKUP(B406,Customer_Master!A:A,Customer_Master!D:D,"Not Found")</f>
        <v>Self-Employed</v>
      </c>
      <c r="P406" t="str">
        <f>_xlfn.XLOOKUP(B406,Customer_Master!A:A,Customer_Master!E:E,"Not Found")</f>
        <v>Medium</v>
      </c>
      <c r="Q406" t="str" cm="1">
        <f t="array" ref="Q406">_xlfn.IFS(H406&lt;600,"High Risk",H406&lt;=750,"Medium Risk",TRUE,"Low Risk")</f>
        <v>Medium Risk</v>
      </c>
    </row>
    <row r="407" spans="1:17" x14ac:dyDescent="0.3">
      <c r="A407" t="s">
        <v>613</v>
      </c>
      <c r="B407" t="s">
        <v>540</v>
      </c>
      <c r="C407">
        <v>42</v>
      </c>
      <c r="D407">
        <v>78748</v>
      </c>
      <c r="E407">
        <v>1856588</v>
      </c>
      <c r="F407">
        <v>11.04</v>
      </c>
      <c r="G407">
        <v>120</v>
      </c>
      <c r="H407">
        <v>791</v>
      </c>
      <c r="I407" t="s">
        <v>31</v>
      </c>
      <c r="J407" t="s">
        <v>16</v>
      </c>
      <c r="K407">
        <v>25617</v>
      </c>
      <c r="L407" t="s">
        <v>22</v>
      </c>
      <c r="M407" s="8">
        <v>45285</v>
      </c>
      <c r="N407" t="str">
        <f>_xlfn.XLOOKUP(B407,Customer_Master!A:A,Customer_Master!C:C,"Not Found")</f>
        <v>Chennai</v>
      </c>
      <c r="O407" t="str">
        <f>_xlfn.XLOOKUP(B407,Customer_Master!A:A,Customer_Master!D:D,"Not Found")</f>
        <v>Salaried</v>
      </c>
      <c r="P407" t="str">
        <f>_xlfn.XLOOKUP(B407,Customer_Master!A:A,Customer_Master!E:E,"Not Found")</f>
        <v>Medium</v>
      </c>
      <c r="Q407" t="str" cm="1">
        <f t="array" ref="Q407">_xlfn.IFS(H407&lt;600,"High Risk",H407&lt;=750,"Medium Risk",TRUE,"Low Risk")</f>
        <v>Low Risk</v>
      </c>
    </row>
    <row r="408" spans="1:17" x14ac:dyDescent="0.3">
      <c r="A408" t="s">
        <v>614</v>
      </c>
      <c r="B408" t="s">
        <v>245</v>
      </c>
      <c r="C408">
        <v>30</v>
      </c>
      <c r="D408">
        <v>41782</v>
      </c>
      <c r="E408">
        <v>352968</v>
      </c>
      <c r="F408">
        <v>8.15</v>
      </c>
      <c r="G408">
        <v>240</v>
      </c>
      <c r="H408">
        <v>739</v>
      </c>
      <c r="I408" t="s">
        <v>31</v>
      </c>
      <c r="J408" t="s">
        <v>21</v>
      </c>
      <c r="K408">
        <v>2985</v>
      </c>
      <c r="L408" t="s">
        <v>22</v>
      </c>
      <c r="M408" s="8">
        <v>44859</v>
      </c>
      <c r="N408" t="str">
        <f>_xlfn.XLOOKUP(B408,Customer_Master!A:A,Customer_Master!C:C,"Not Found")</f>
        <v>Hyderabad</v>
      </c>
      <c r="O408" t="str">
        <f>_xlfn.XLOOKUP(B408,Customer_Master!A:A,Customer_Master!D:D,"Not Found")</f>
        <v>Self-Employed</v>
      </c>
      <c r="P408" t="str">
        <f>_xlfn.XLOOKUP(B408,Customer_Master!A:A,Customer_Master!E:E,"Not Found")</f>
        <v>High</v>
      </c>
      <c r="Q408" t="str" cm="1">
        <f t="array" ref="Q408">_xlfn.IFS(H408&lt;600,"High Risk",H408&lt;=750,"Medium Risk",TRUE,"Low Risk")</f>
        <v>Medium Risk</v>
      </c>
    </row>
    <row r="409" spans="1:17" x14ac:dyDescent="0.3">
      <c r="A409" t="s">
        <v>615</v>
      </c>
      <c r="B409" t="s">
        <v>387</v>
      </c>
      <c r="C409">
        <v>45</v>
      </c>
      <c r="D409">
        <v>196290</v>
      </c>
      <c r="E409">
        <v>367120</v>
      </c>
      <c r="F409">
        <v>7.69</v>
      </c>
      <c r="G409">
        <v>48</v>
      </c>
      <c r="H409">
        <v>800</v>
      </c>
      <c r="I409" t="s">
        <v>15</v>
      </c>
      <c r="J409" t="s">
        <v>39</v>
      </c>
      <c r="K409">
        <v>8909</v>
      </c>
      <c r="L409" t="s">
        <v>22</v>
      </c>
      <c r="M409" s="8">
        <v>45333</v>
      </c>
      <c r="N409" t="str">
        <f>_xlfn.XLOOKUP(B409,Customer_Master!A:A,Customer_Master!C:C,"Not Found")</f>
        <v>Pune</v>
      </c>
      <c r="O409" t="str">
        <f>_xlfn.XLOOKUP(B409,Customer_Master!A:A,Customer_Master!D:D,"Not Found")</f>
        <v>Salaried</v>
      </c>
      <c r="P409" t="str">
        <f>_xlfn.XLOOKUP(B409,Customer_Master!A:A,Customer_Master!E:E,"Not Found")</f>
        <v>Medium</v>
      </c>
      <c r="Q409" t="str" cm="1">
        <f t="array" ref="Q409">_xlfn.IFS(H409&lt;600,"High Risk",H409&lt;=750,"Medium Risk",TRUE,"Low Risk")</f>
        <v>Low Risk</v>
      </c>
    </row>
    <row r="410" spans="1:17" x14ac:dyDescent="0.3">
      <c r="A410" t="s">
        <v>616</v>
      </c>
      <c r="B410" t="s">
        <v>234</v>
      </c>
      <c r="C410">
        <v>27</v>
      </c>
      <c r="D410">
        <v>152625</v>
      </c>
      <c r="E410">
        <v>479738</v>
      </c>
      <c r="F410">
        <v>7.61</v>
      </c>
      <c r="G410">
        <v>240</v>
      </c>
      <c r="H410">
        <v>791</v>
      </c>
      <c r="I410" t="s">
        <v>31</v>
      </c>
      <c r="J410" t="s">
        <v>16</v>
      </c>
      <c r="K410">
        <v>3897</v>
      </c>
      <c r="L410" t="s">
        <v>17</v>
      </c>
      <c r="M410" s="8">
        <v>45269</v>
      </c>
      <c r="N410" t="str">
        <f>_xlfn.XLOOKUP(B410,Customer_Master!A:A,Customer_Master!C:C,"Not Found")</f>
        <v>Chennai</v>
      </c>
      <c r="O410" t="str">
        <f>_xlfn.XLOOKUP(B410,Customer_Master!A:A,Customer_Master!D:D,"Not Found")</f>
        <v>Self-Employed</v>
      </c>
      <c r="P410" t="str">
        <f>_xlfn.XLOOKUP(B410,Customer_Master!A:A,Customer_Master!E:E,"Not Found")</f>
        <v>Low</v>
      </c>
      <c r="Q410" t="str" cm="1">
        <f t="array" ref="Q410">_xlfn.IFS(H410&lt;600,"High Risk",H410&lt;=750,"Medium Risk",TRUE,"Low Risk")</f>
        <v>Low Risk</v>
      </c>
    </row>
    <row r="411" spans="1:17" x14ac:dyDescent="0.3">
      <c r="A411" t="s">
        <v>617</v>
      </c>
      <c r="B411" t="s">
        <v>618</v>
      </c>
      <c r="C411">
        <v>52</v>
      </c>
      <c r="D411">
        <v>146257</v>
      </c>
      <c r="E411">
        <v>1879855</v>
      </c>
      <c r="F411">
        <v>11.1</v>
      </c>
      <c r="G411">
        <v>120</v>
      </c>
      <c r="H411">
        <v>564</v>
      </c>
      <c r="I411" t="s">
        <v>27</v>
      </c>
      <c r="J411" t="s">
        <v>28</v>
      </c>
      <c r="K411">
        <v>26002</v>
      </c>
      <c r="L411" t="s">
        <v>22</v>
      </c>
      <c r="M411" s="8">
        <v>45104</v>
      </c>
      <c r="N411" t="str">
        <f>_xlfn.XLOOKUP(B411,Customer_Master!A:A,Customer_Master!C:C,"Not Found")</f>
        <v>Bangalore</v>
      </c>
      <c r="O411" t="str">
        <f>_xlfn.XLOOKUP(B411,Customer_Master!A:A,Customer_Master!D:D,"Not Found")</f>
        <v>Salaried</v>
      </c>
      <c r="P411" t="str">
        <f>_xlfn.XLOOKUP(B411,Customer_Master!A:A,Customer_Master!E:E,"Not Found")</f>
        <v>Medium</v>
      </c>
      <c r="Q411" t="str" cm="1">
        <f t="array" ref="Q411">_xlfn.IFS(H411&lt;600,"High Risk",H411&lt;=750,"Medium Risk",TRUE,"Low Risk")</f>
        <v>High Risk</v>
      </c>
    </row>
    <row r="412" spans="1:17" x14ac:dyDescent="0.3">
      <c r="A412" t="s">
        <v>619</v>
      </c>
      <c r="B412" t="s">
        <v>574</v>
      </c>
      <c r="C412">
        <v>32</v>
      </c>
      <c r="D412">
        <v>29245</v>
      </c>
      <c r="E412">
        <v>842575</v>
      </c>
      <c r="F412">
        <v>10.119999999999999</v>
      </c>
      <c r="G412">
        <v>60</v>
      </c>
      <c r="H412">
        <v>726</v>
      </c>
      <c r="I412" t="s">
        <v>31</v>
      </c>
      <c r="J412" t="s">
        <v>16</v>
      </c>
      <c r="K412">
        <v>17952</v>
      </c>
      <c r="L412" t="s">
        <v>17</v>
      </c>
      <c r="M412" s="8">
        <v>44711</v>
      </c>
      <c r="N412" t="str">
        <f>_xlfn.XLOOKUP(B412,Customer_Master!A:A,Customer_Master!C:C,"Not Found")</f>
        <v>Mumbai</v>
      </c>
      <c r="O412" t="str">
        <f>_xlfn.XLOOKUP(B412,Customer_Master!A:A,Customer_Master!D:D,"Not Found")</f>
        <v>Self-Employed</v>
      </c>
      <c r="P412" t="str">
        <f>_xlfn.XLOOKUP(B412,Customer_Master!A:A,Customer_Master!E:E,"Not Found")</f>
        <v>Low</v>
      </c>
      <c r="Q412" t="str" cm="1">
        <f t="array" ref="Q412">_xlfn.IFS(H412&lt;600,"High Risk",H412&lt;=750,"Medium Risk",TRUE,"Low Risk")</f>
        <v>Medium Risk</v>
      </c>
    </row>
    <row r="413" spans="1:17" x14ac:dyDescent="0.3">
      <c r="A413" t="s">
        <v>620</v>
      </c>
      <c r="B413" t="s">
        <v>396</v>
      </c>
      <c r="C413">
        <v>58</v>
      </c>
      <c r="D413">
        <v>190976</v>
      </c>
      <c r="E413">
        <v>1119312</v>
      </c>
      <c r="F413">
        <v>12.99</v>
      </c>
      <c r="G413">
        <v>48</v>
      </c>
      <c r="H413">
        <v>836</v>
      </c>
      <c r="I413" t="s">
        <v>27</v>
      </c>
      <c r="J413" t="s">
        <v>21</v>
      </c>
      <c r="K413">
        <v>30023</v>
      </c>
      <c r="L413" t="s">
        <v>22</v>
      </c>
      <c r="M413" s="8">
        <v>45484</v>
      </c>
      <c r="N413" t="str">
        <f>_xlfn.XLOOKUP(B413,Customer_Master!A:A,Customer_Master!C:C,"Not Found")</f>
        <v>Hyderabad</v>
      </c>
      <c r="O413" t="str">
        <f>_xlfn.XLOOKUP(B413,Customer_Master!A:A,Customer_Master!D:D,"Not Found")</f>
        <v>Salaried</v>
      </c>
      <c r="P413" t="str">
        <f>_xlfn.XLOOKUP(B413,Customer_Master!A:A,Customer_Master!E:E,"Not Found")</f>
        <v>High</v>
      </c>
      <c r="Q413" t="str" cm="1">
        <f t="array" ref="Q413">_xlfn.IFS(H413&lt;600,"High Risk",H413&lt;=750,"Medium Risk",TRUE,"Low Risk")</f>
        <v>Low Risk</v>
      </c>
    </row>
    <row r="414" spans="1:17" x14ac:dyDescent="0.3">
      <c r="A414" t="s">
        <v>621</v>
      </c>
      <c r="B414" t="s">
        <v>232</v>
      </c>
      <c r="C414">
        <v>22</v>
      </c>
      <c r="D414">
        <v>40554</v>
      </c>
      <c r="E414">
        <v>1197381</v>
      </c>
      <c r="F414">
        <v>12.94</v>
      </c>
      <c r="G414">
        <v>60</v>
      </c>
      <c r="H414">
        <v>833</v>
      </c>
      <c r="I414" t="s">
        <v>27</v>
      </c>
      <c r="J414" t="s">
        <v>28</v>
      </c>
      <c r="K414">
        <v>27207</v>
      </c>
      <c r="L414" t="s">
        <v>22</v>
      </c>
      <c r="M414" s="8">
        <v>45474</v>
      </c>
      <c r="N414" t="str">
        <f>_xlfn.XLOOKUP(B414,Customer_Master!A:A,Customer_Master!C:C,"Not Found")</f>
        <v>Chennai</v>
      </c>
      <c r="O414" t="str">
        <f>_xlfn.XLOOKUP(B414,Customer_Master!A:A,Customer_Master!D:D,"Not Found")</f>
        <v>Self-Employed</v>
      </c>
      <c r="P414" t="str">
        <f>_xlfn.XLOOKUP(B414,Customer_Master!A:A,Customer_Master!E:E,"Not Found")</f>
        <v>Low</v>
      </c>
      <c r="Q414" t="str" cm="1">
        <f t="array" ref="Q414">_xlfn.IFS(H414&lt;600,"High Risk",H414&lt;=750,"Medium Risk",TRUE,"Low Risk")</f>
        <v>Low Risk</v>
      </c>
    </row>
    <row r="415" spans="1:17" x14ac:dyDescent="0.3">
      <c r="A415" t="s">
        <v>622</v>
      </c>
      <c r="B415" t="s">
        <v>623</v>
      </c>
      <c r="C415">
        <v>53</v>
      </c>
      <c r="D415">
        <v>99566</v>
      </c>
      <c r="E415">
        <v>1025554</v>
      </c>
      <c r="F415">
        <v>13.54</v>
      </c>
      <c r="G415">
        <v>240</v>
      </c>
      <c r="H415">
        <v>560</v>
      </c>
      <c r="I415" t="s">
        <v>27</v>
      </c>
      <c r="J415" t="s">
        <v>21</v>
      </c>
      <c r="K415">
        <v>12412</v>
      </c>
      <c r="L415" t="s">
        <v>34</v>
      </c>
      <c r="M415" s="8">
        <v>45091</v>
      </c>
      <c r="N415" t="str">
        <f>_xlfn.XLOOKUP(B415,Customer_Master!A:A,Customer_Master!C:C,"Not Found")</f>
        <v>Hyderabad</v>
      </c>
      <c r="O415" t="str">
        <f>_xlfn.XLOOKUP(B415,Customer_Master!A:A,Customer_Master!D:D,"Not Found")</f>
        <v>Salaried</v>
      </c>
      <c r="P415" t="str">
        <f>_xlfn.XLOOKUP(B415,Customer_Master!A:A,Customer_Master!E:E,"Not Found")</f>
        <v>Low</v>
      </c>
      <c r="Q415" t="str" cm="1">
        <f t="array" ref="Q415">_xlfn.IFS(H415&lt;600,"High Risk",H415&lt;=750,"Medium Risk",TRUE,"Low Risk")</f>
        <v>High Risk</v>
      </c>
    </row>
    <row r="416" spans="1:17" x14ac:dyDescent="0.3">
      <c r="A416" t="s">
        <v>624</v>
      </c>
      <c r="B416" t="s">
        <v>597</v>
      </c>
      <c r="C416">
        <v>56</v>
      </c>
      <c r="D416">
        <v>197298</v>
      </c>
      <c r="E416">
        <v>1002921</v>
      </c>
      <c r="F416">
        <v>7.57</v>
      </c>
      <c r="G416">
        <v>240</v>
      </c>
      <c r="H416">
        <v>471</v>
      </c>
      <c r="I416" t="s">
        <v>20</v>
      </c>
      <c r="J416" t="s">
        <v>16</v>
      </c>
      <c r="K416">
        <v>8122</v>
      </c>
      <c r="L416" t="s">
        <v>22</v>
      </c>
      <c r="M416" s="8">
        <v>44741</v>
      </c>
      <c r="N416" t="str">
        <f>_xlfn.XLOOKUP(B416,Customer_Master!A:A,Customer_Master!C:C,"Not Found")</f>
        <v>Hyderabad</v>
      </c>
      <c r="O416" t="str">
        <f>_xlfn.XLOOKUP(B416,Customer_Master!A:A,Customer_Master!D:D,"Not Found")</f>
        <v>Business Owner</v>
      </c>
      <c r="P416" t="str">
        <f>_xlfn.XLOOKUP(B416,Customer_Master!A:A,Customer_Master!E:E,"Not Found")</f>
        <v>High</v>
      </c>
      <c r="Q416" t="str" cm="1">
        <f t="array" ref="Q416">_xlfn.IFS(H416&lt;600,"High Risk",H416&lt;=750,"Medium Risk",TRUE,"Low Risk")</f>
        <v>High Risk</v>
      </c>
    </row>
    <row r="417" spans="1:17" x14ac:dyDescent="0.3">
      <c r="A417" t="s">
        <v>625</v>
      </c>
      <c r="B417" t="s">
        <v>626</v>
      </c>
      <c r="C417">
        <v>58</v>
      </c>
      <c r="D417">
        <v>50165</v>
      </c>
      <c r="E417">
        <v>264697</v>
      </c>
      <c r="F417">
        <v>7.98</v>
      </c>
      <c r="G417">
        <v>240</v>
      </c>
      <c r="H417">
        <v>635</v>
      </c>
      <c r="I417" t="s">
        <v>20</v>
      </c>
      <c r="J417" t="s">
        <v>16</v>
      </c>
      <c r="K417">
        <v>2211</v>
      </c>
      <c r="L417" t="s">
        <v>22</v>
      </c>
      <c r="M417" s="8">
        <v>44656</v>
      </c>
      <c r="N417" t="str">
        <f>_xlfn.XLOOKUP(B417,Customer_Master!A:A,Customer_Master!C:C,"Not Found")</f>
        <v>Chennai</v>
      </c>
      <c r="O417" t="str">
        <f>_xlfn.XLOOKUP(B417,Customer_Master!A:A,Customer_Master!D:D,"Not Found")</f>
        <v>Self-Employed</v>
      </c>
      <c r="P417" t="str">
        <f>_xlfn.XLOOKUP(B417,Customer_Master!A:A,Customer_Master!E:E,"Not Found")</f>
        <v>Medium</v>
      </c>
      <c r="Q417" t="str" cm="1">
        <f t="array" ref="Q417">_xlfn.IFS(H417&lt;600,"High Risk",H417&lt;=750,"Medium Risk",TRUE,"Low Risk")</f>
        <v>Medium Risk</v>
      </c>
    </row>
    <row r="418" spans="1:17" x14ac:dyDescent="0.3">
      <c r="A418" t="s">
        <v>627</v>
      </c>
      <c r="B418" t="s">
        <v>148</v>
      </c>
      <c r="C418">
        <v>55</v>
      </c>
      <c r="D418">
        <v>74815</v>
      </c>
      <c r="E418">
        <v>1344344</v>
      </c>
      <c r="F418">
        <v>11.33</v>
      </c>
      <c r="G418">
        <v>24</v>
      </c>
      <c r="H418">
        <v>664</v>
      </c>
      <c r="I418" t="s">
        <v>15</v>
      </c>
      <c r="J418" t="s">
        <v>28</v>
      </c>
      <c r="K418">
        <v>62863</v>
      </c>
      <c r="L418" t="s">
        <v>22</v>
      </c>
      <c r="M418" s="8">
        <v>45095</v>
      </c>
      <c r="N418" t="str">
        <f>_xlfn.XLOOKUP(B418,Customer_Master!A:A,Customer_Master!C:C,"Not Found")</f>
        <v>Chennai</v>
      </c>
      <c r="O418" t="str">
        <f>_xlfn.XLOOKUP(B418,Customer_Master!A:A,Customer_Master!D:D,"Not Found")</f>
        <v>Self-Employed</v>
      </c>
      <c r="P418" t="str">
        <f>_xlfn.XLOOKUP(B418,Customer_Master!A:A,Customer_Master!E:E,"Not Found")</f>
        <v>Low</v>
      </c>
      <c r="Q418" t="str" cm="1">
        <f t="array" ref="Q418">_xlfn.IFS(H418&lt;600,"High Risk",H418&lt;=750,"Medium Risk",TRUE,"Low Risk")</f>
        <v>Medium Risk</v>
      </c>
    </row>
    <row r="419" spans="1:17" x14ac:dyDescent="0.3">
      <c r="A419" t="s">
        <v>628</v>
      </c>
      <c r="B419" t="s">
        <v>117</v>
      </c>
      <c r="C419">
        <v>22</v>
      </c>
      <c r="D419">
        <v>121260</v>
      </c>
      <c r="E419">
        <v>1324274</v>
      </c>
      <c r="F419">
        <v>7.99</v>
      </c>
      <c r="G419">
        <v>180</v>
      </c>
      <c r="H419">
        <v>677</v>
      </c>
      <c r="I419" t="s">
        <v>20</v>
      </c>
      <c r="J419" t="s">
        <v>39</v>
      </c>
      <c r="K419">
        <v>12648</v>
      </c>
      <c r="L419" t="s">
        <v>17</v>
      </c>
      <c r="M419" s="8">
        <v>44999</v>
      </c>
      <c r="N419" t="str">
        <f>_xlfn.XLOOKUP(B419,Customer_Master!A:A,Customer_Master!C:C,"Not Found")</f>
        <v>Hyderabad</v>
      </c>
      <c r="O419" t="str">
        <f>_xlfn.XLOOKUP(B419,Customer_Master!A:A,Customer_Master!D:D,"Not Found")</f>
        <v>Business Owner</v>
      </c>
      <c r="P419" t="str">
        <f>_xlfn.XLOOKUP(B419,Customer_Master!A:A,Customer_Master!E:E,"Not Found")</f>
        <v>High</v>
      </c>
      <c r="Q419" t="str" cm="1">
        <f t="array" ref="Q419">_xlfn.IFS(H419&lt;600,"High Risk",H419&lt;=750,"Medium Risk",TRUE,"Low Risk")</f>
        <v>Medium Risk</v>
      </c>
    </row>
    <row r="420" spans="1:17" x14ac:dyDescent="0.3">
      <c r="A420" t="s">
        <v>629</v>
      </c>
      <c r="B420" t="s">
        <v>227</v>
      </c>
      <c r="C420">
        <v>41</v>
      </c>
      <c r="D420">
        <v>29248</v>
      </c>
      <c r="E420">
        <v>1094736</v>
      </c>
      <c r="F420">
        <v>11.46</v>
      </c>
      <c r="G420">
        <v>180</v>
      </c>
      <c r="H420">
        <v>559</v>
      </c>
      <c r="I420" t="s">
        <v>20</v>
      </c>
      <c r="J420" t="s">
        <v>39</v>
      </c>
      <c r="K420">
        <v>12761</v>
      </c>
      <c r="L420" t="s">
        <v>22</v>
      </c>
      <c r="M420" s="8">
        <v>44582</v>
      </c>
      <c r="N420" t="str">
        <f>_xlfn.XLOOKUP(B420,Customer_Master!A:A,Customer_Master!C:C,"Not Found")</f>
        <v>Delhi</v>
      </c>
      <c r="O420" t="str">
        <f>_xlfn.XLOOKUP(B420,Customer_Master!A:A,Customer_Master!D:D,"Not Found")</f>
        <v>Salaried</v>
      </c>
      <c r="P420" t="str">
        <f>_xlfn.XLOOKUP(B420,Customer_Master!A:A,Customer_Master!E:E,"Not Found")</f>
        <v>High</v>
      </c>
      <c r="Q420" t="str" cm="1">
        <f t="array" ref="Q420">_xlfn.IFS(H420&lt;600,"High Risk",H420&lt;=750,"Medium Risk",TRUE,"Low Risk")</f>
        <v>High Risk</v>
      </c>
    </row>
    <row r="421" spans="1:17" x14ac:dyDescent="0.3">
      <c r="A421" t="s">
        <v>630</v>
      </c>
      <c r="B421" t="s">
        <v>566</v>
      </c>
      <c r="C421">
        <v>24</v>
      </c>
      <c r="D421">
        <v>111550</v>
      </c>
      <c r="E421">
        <v>1191893</v>
      </c>
      <c r="F421">
        <v>14.64</v>
      </c>
      <c r="G421">
        <v>240</v>
      </c>
      <c r="H421">
        <v>752</v>
      </c>
      <c r="I421" t="s">
        <v>31</v>
      </c>
      <c r="J421" t="s">
        <v>16</v>
      </c>
      <c r="K421">
        <v>15379</v>
      </c>
      <c r="L421" t="s">
        <v>22</v>
      </c>
      <c r="M421" s="8">
        <v>44954</v>
      </c>
      <c r="N421" t="str">
        <f>_xlfn.XLOOKUP(B421,Customer_Master!A:A,Customer_Master!C:C,"Not Found")</f>
        <v>Delhi</v>
      </c>
      <c r="O421" t="str">
        <f>_xlfn.XLOOKUP(B421,Customer_Master!A:A,Customer_Master!D:D,"Not Found")</f>
        <v>Salaried</v>
      </c>
      <c r="P421" t="str">
        <f>_xlfn.XLOOKUP(B421,Customer_Master!A:A,Customer_Master!E:E,"Not Found")</f>
        <v>Medium</v>
      </c>
      <c r="Q421" t="str" cm="1">
        <f t="array" ref="Q421">_xlfn.IFS(H421&lt;600,"High Risk",H421&lt;=750,"Medium Risk",TRUE,"Low Risk")</f>
        <v>Low Risk</v>
      </c>
    </row>
    <row r="422" spans="1:17" x14ac:dyDescent="0.3">
      <c r="A422" t="s">
        <v>631</v>
      </c>
      <c r="B422" t="s">
        <v>86</v>
      </c>
      <c r="C422">
        <v>44</v>
      </c>
      <c r="D422">
        <v>135723</v>
      </c>
      <c r="E422">
        <v>536997</v>
      </c>
      <c r="F422">
        <v>7.9</v>
      </c>
      <c r="G422">
        <v>180</v>
      </c>
      <c r="H422">
        <v>461</v>
      </c>
      <c r="I422" t="s">
        <v>31</v>
      </c>
      <c r="J422" t="s">
        <v>28</v>
      </c>
      <c r="K422">
        <v>5101</v>
      </c>
      <c r="L422" t="s">
        <v>34</v>
      </c>
      <c r="M422" s="8">
        <v>44985</v>
      </c>
      <c r="N422" t="str">
        <f>_xlfn.XLOOKUP(B422,Customer_Master!A:A,Customer_Master!C:C,"Not Found")</f>
        <v>Delhi</v>
      </c>
      <c r="O422" t="str">
        <f>_xlfn.XLOOKUP(B422,Customer_Master!A:A,Customer_Master!D:D,"Not Found")</f>
        <v>Business Owner</v>
      </c>
      <c r="P422" t="str">
        <f>_xlfn.XLOOKUP(B422,Customer_Master!A:A,Customer_Master!E:E,"Not Found")</f>
        <v>High</v>
      </c>
      <c r="Q422" t="str" cm="1">
        <f t="array" ref="Q422">_xlfn.IFS(H422&lt;600,"High Risk",H422&lt;=750,"Medium Risk",TRUE,"Low Risk")</f>
        <v>High Risk</v>
      </c>
    </row>
    <row r="423" spans="1:17" x14ac:dyDescent="0.3">
      <c r="A423" t="s">
        <v>632</v>
      </c>
      <c r="B423" t="s">
        <v>180</v>
      </c>
      <c r="C423">
        <v>55</v>
      </c>
      <c r="D423">
        <v>60083</v>
      </c>
      <c r="E423">
        <v>411436</v>
      </c>
      <c r="F423">
        <v>14.52</v>
      </c>
      <c r="G423">
        <v>24</v>
      </c>
      <c r="H423">
        <v>842</v>
      </c>
      <c r="I423" t="s">
        <v>15</v>
      </c>
      <c r="J423" t="s">
        <v>16</v>
      </c>
      <c r="K423">
        <v>19855</v>
      </c>
      <c r="L423" t="s">
        <v>22</v>
      </c>
      <c r="M423" s="8">
        <v>45048</v>
      </c>
      <c r="N423" t="str">
        <f>_xlfn.XLOOKUP(B423,Customer_Master!A:A,Customer_Master!C:C,"Not Found")</f>
        <v>Bangalore</v>
      </c>
      <c r="O423" t="str">
        <f>_xlfn.XLOOKUP(B423,Customer_Master!A:A,Customer_Master!D:D,"Not Found")</f>
        <v>Salaried</v>
      </c>
      <c r="P423" t="str">
        <f>_xlfn.XLOOKUP(B423,Customer_Master!A:A,Customer_Master!E:E,"Not Found")</f>
        <v>Medium</v>
      </c>
      <c r="Q423" t="str" cm="1">
        <f t="array" ref="Q423">_xlfn.IFS(H423&lt;600,"High Risk",H423&lt;=750,"Medium Risk",TRUE,"Low Risk")</f>
        <v>Low Risk</v>
      </c>
    </row>
    <row r="424" spans="1:17" x14ac:dyDescent="0.3">
      <c r="A424" t="s">
        <v>633</v>
      </c>
      <c r="B424" t="s">
        <v>306</v>
      </c>
      <c r="C424">
        <v>25</v>
      </c>
      <c r="D424">
        <v>185179</v>
      </c>
      <c r="E424">
        <v>363956</v>
      </c>
      <c r="F424">
        <v>8.24</v>
      </c>
      <c r="G424">
        <v>120</v>
      </c>
      <c r="H424">
        <v>699</v>
      </c>
      <c r="I424" t="s">
        <v>20</v>
      </c>
      <c r="J424" t="s">
        <v>28</v>
      </c>
      <c r="K424">
        <v>4462</v>
      </c>
      <c r="L424" t="s">
        <v>22</v>
      </c>
      <c r="M424" s="8">
        <v>44618</v>
      </c>
      <c r="N424" t="str">
        <f>_xlfn.XLOOKUP(B424,Customer_Master!A:A,Customer_Master!C:C,"Not Found")</f>
        <v>Hyderabad</v>
      </c>
      <c r="O424" t="str">
        <f>_xlfn.XLOOKUP(B424,Customer_Master!A:A,Customer_Master!D:D,"Not Found")</f>
        <v>Salaried</v>
      </c>
      <c r="P424" t="str">
        <f>_xlfn.XLOOKUP(B424,Customer_Master!A:A,Customer_Master!E:E,"Not Found")</f>
        <v>Medium</v>
      </c>
      <c r="Q424" t="str" cm="1">
        <f t="array" ref="Q424">_xlfn.IFS(H424&lt;600,"High Risk",H424&lt;=750,"Medium Risk",TRUE,"Low Risk")</f>
        <v>Medium Risk</v>
      </c>
    </row>
    <row r="425" spans="1:17" x14ac:dyDescent="0.3">
      <c r="A425" t="s">
        <v>634</v>
      </c>
      <c r="B425" t="s">
        <v>315</v>
      </c>
      <c r="C425">
        <v>57</v>
      </c>
      <c r="D425">
        <v>68820</v>
      </c>
      <c r="E425">
        <v>590539</v>
      </c>
      <c r="F425">
        <v>12.01</v>
      </c>
      <c r="G425">
        <v>60</v>
      </c>
      <c r="H425">
        <v>595</v>
      </c>
      <c r="I425" t="s">
        <v>27</v>
      </c>
      <c r="J425" t="s">
        <v>21</v>
      </c>
      <c r="K425">
        <v>13139</v>
      </c>
      <c r="L425" t="s">
        <v>22</v>
      </c>
      <c r="M425" s="8">
        <v>45038</v>
      </c>
      <c r="N425" t="str">
        <f>_xlfn.XLOOKUP(B425,Customer_Master!A:A,Customer_Master!C:C,"Not Found")</f>
        <v>Delhi</v>
      </c>
      <c r="O425" t="str">
        <f>_xlfn.XLOOKUP(B425,Customer_Master!A:A,Customer_Master!D:D,"Not Found")</f>
        <v>Salaried</v>
      </c>
      <c r="P425" t="str">
        <f>_xlfn.XLOOKUP(B425,Customer_Master!A:A,Customer_Master!E:E,"Not Found")</f>
        <v>High</v>
      </c>
      <c r="Q425" t="str" cm="1">
        <f t="array" ref="Q425">_xlfn.IFS(H425&lt;600,"High Risk",H425&lt;=750,"Medium Risk",TRUE,"Low Risk")</f>
        <v>High Risk</v>
      </c>
    </row>
    <row r="426" spans="1:17" x14ac:dyDescent="0.3">
      <c r="A426" t="s">
        <v>635</v>
      </c>
      <c r="B426" t="s">
        <v>538</v>
      </c>
      <c r="C426">
        <v>36</v>
      </c>
      <c r="D426">
        <v>42558</v>
      </c>
      <c r="E426">
        <v>431699</v>
      </c>
      <c r="F426">
        <v>14.08</v>
      </c>
      <c r="G426">
        <v>48</v>
      </c>
      <c r="H426">
        <v>637</v>
      </c>
      <c r="I426" t="s">
        <v>31</v>
      </c>
      <c r="J426" t="s">
        <v>28</v>
      </c>
      <c r="K426">
        <v>11814</v>
      </c>
      <c r="L426" t="s">
        <v>17</v>
      </c>
      <c r="M426" s="8">
        <v>45067</v>
      </c>
      <c r="N426" t="str">
        <f>_xlfn.XLOOKUP(B426,Customer_Master!A:A,Customer_Master!C:C,"Not Found")</f>
        <v>Bangalore</v>
      </c>
      <c r="O426" t="str">
        <f>_xlfn.XLOOKUP(B426,Customer_Master!A:A,Customer_Master!D:D,"Not Found")</f>
        <v>Self-Employed</v>
      </c>
      <c r="P426" t="str">
        <f>_xlfn.XLOOKUP(B426,Customer_Master!A:A,Customer_Master!E:E,"Not Found")</f>
        <v>Medium</v>
      </c>
      <c r="Q426" t="str" cm="1">
        <f t="array" ref="Q426">_xlfn.IFS(H426&lt;600,"High Risk",H426&lt;=750,"Medium Risk",TRUE,"Low Risk")</f>
        <v>Medium Risk</v>
      </c>
    </row>
    <row r="427" spans="1:17" x14ac:dyDescent="0.3">
      <c r="A427" t="s">
        <v>636</v>
      </c>
      <c r="B427" t="s">
        <v>284</v>
      </c>
      <c r="C427">
        <v>33</v>
      </c>
      <c r="D427">
        <v>34483</v>
      </c>
      <c r="E427">
        <v>1539350</v>
      </c>
      <c r="F427">
        <v>13.22</v>
      </c>
      <c r="G427">
        <v>120</v>
      </c>
      <c r="H427">
        <v>525</v>
      </c>
      <c r="I427" t="s">
        <v>15</v>
      </c>
      <c r="J427" t="s">
        <v>39</v>
      </c>
      <c r="K427">
        <v>23184</v>
      </c>
      <c r="L427" t="s">
        <v>22</v>
      </c>
      <c r="M427" s="8">
        <v>44651</v>
      </c>
      <c r="N427" t="str">
        <f>_xlfn.XLOOKUP(B427,Customer_Master!A:A,Customer_Master!C:C,"Not Found")</f>
        <v>Mumbai</v>
      </c>
      <c r="O427" t="str">
        <f>_xlfn.XLOOKUP(B427,Customer_Master!A:A,Customer_Master!D:D,"Not Found")</f>
        <v>Salaried</v>
      </c>
      <c r="P427" t="str">
        <f>_xlfn.XLOOKUP(B427,Customer_Master!A:A,Customer_Master!E:E,"Not Found")</f>
        <v>Low</v>
      </c>
      <c r="Q427" t="str" cm="1">
        <f t="array" ref="Q427">_xlfn.IFS(H427&lt;600,"High Risk",H427&lt;=750,"Medium Risk",TRUE,"Low Risk")</f>
        <v>High Risk</v>
      </c>
    </row>
    <row r="428" spans="1:17" x14ac:dyDescent="0.3">
      <c r="A428" t="s">
        <v>637</v>
      </c>
      <c r="B428" t="s">
        <v>139</v>
      </c>
      <c r="C428">
        <v>31</v>
      </c>
      <c r="D428">
        <v>57670</v>
      </c>
      <c r="E428">
        <v>1207999</v>
      </c>
      <c r="F428">
        <v>13.51</v>
      </c>
      <c r="G428">
        <v>48</v>
      </c>
      <c r="H428">
        <v>667</v>
      </c>
      <c r="I428" t="s">
        <v>27</v>
      </c>
      <c r="J428" t="s">
        <v>16</v>
      </c>
      <c r="K428">
        <v>32714</v>
      </c>
      <c r="L428" t="s">
        <v>22</v>
      </c>
      <c r="M428" s="8">
        <v>44906</v>
      </c>
      <c r="N428" t="str">
        <f>_xlfn.XLOOKUP(B428,Customer_Master!A:A,Customer_Master!C:C,"Not Found")</f>
        <v>Mumbai</v>
      </c>
      <c r="O428" t="str">
        <f>_xlfn.XLOOKUP(B428,Customer_Master!A:A,Customer_Master!D:D,"Not Found")</f>
        <v>Self-Employed</v>
      </c>
      <c r="P428" t="str">
        <f>_xlfn.XLOOKUP(B428,Customer_Master!A:A,Customer_Master!E:E,"Not Found")</f>
        <v>Low</v>
      </c>
      <c r="Q428" t="str" cm="1">
        <f t="array" ref="Q428">_xlfn.IFS(H428&lt;600,"High Risk",H428&lt;=750,"Medium Risk",TRUE,"Low Risk")</f>
        <v>Medium Risk</v>
      </c>
    </row>
    <row r="429" spans="1:17" x14ac:dyDescent="0.3">
      <c r="A429" t="s">
        <v>638</v>
      </c>
      <c r="B429" t="s">
        <v>460</v>
      </c>
      <c r="C429">
        <v>30</v>
      </c>
      <c r="D429">
        <v>111699</v>
      </c>
      <c r="E429">
        <v>1316157</v>
      </c>
      <c r="F429">
        <v>8.35</v>
      </c>
      <c r="G429">
        <v>120</v>
      </c>
      <c r="H429">
        <v>698</v>
      </c>
      <c r="I429" t="s">
        <v>31</v>
      </c>
      <c r="J429" t="s">
        <v>21</v>
      </c>
      <c r="K429">
        <v>16213</v>
      </c>
      <c r="L429" t="s">
        <v>22</v>
      </c>
      <c r="M429" s="8">
        <v>45099</v>
      </c>
      <c r="N429" t="str">
        <f>_xlfn.XLOOKUP(B429,Customer_Master!A:A,Customer_Master!C:C,"Not Found")</f>
        <v>Chennai</v>
      </c>
      <c r="O429" t="str">
        <f>_xlfn.XLOOKUP(B429,Customer_Master!A:A,Customer_Master!D:D,"Not Found")</f>
        <v>Self-Employed</v>
      </c>
      <c r="P429" t="str">
        <f>_xlfn.XLOOKUP(B429,Customer_Master!A:A,Customer_Master!E:E,"Not Found")</f>
        <v>High</v>
      </c>
      <c r="Q429" t="str" cm="1">
        <f t="array" ref="Q429">_xlfn.IFS(H429&lt;600,"High Risk",H429&lt;=750,"Medium Risk",TRUE,"Low Risk")</f>
        <v>Medium Risk</v>
      </c>
    </row>
    <row r="430" spans="1:17" x14ac:dyDescent="0.3">
      <c r="A430" t="s">
        <v>639</v>
      </c>
      <c r="B430" t="s">
        <v>159</v>
      </c>
      <c r="C430">
        <v>59</v>
      </c>
      <c r="D430">
        <v>59853</v>
      </c>
      <c r="E430">
        <v>565372</v>
      </c>
      <c r="F430">
        <v>12.64</v>
      </c>
      <c r="G430">
        <v>240</v>
      </c>
      <c r="H430">
        <v>828</v>
      </c>
      <c r="I430" t="s">
        <v>31</v>
      </c>
      <c r="J430" t="s">
        <v>39</v>
      </c>
      <c r="K430">
        <v>6479</v>
      </c>
      <c r="L430" t="s">
        <v>17</v>
      </c>
      <c r="M430" s="8">
        <v>45318</v>
      </c>
      <c r="N430" t="str">
        <f>_xlfn.XLOOKUP(B430,Customer_Master!A:A,Customer_Master!C:C,"Not Found")</f>
        <v>Chennai</v>
      </c>
      <c r="O430" t="str">
        <f>_xlfn.XLOOKUP(B430,Customer_Master!A:A,Customer_Master!D:D,"Not Found")</f>
        <v>Self-Employed</v>
      </c>
      <c r="P430" t="str">
        <f>_xlfn.XLOOKUP(B430,Customer_Master!A:A,Customer_Master!E:E,"Not Found")</f>
        <v>High</v>
      </c>
      <c r="Q430" t="str" cm="1">
        <f t="array" ref="Q430">_xlfn.IFS(H430&lt;600,"High Risk",H430&lt;=750,"Medium Risk",TRUE,"Low Risk")</f>
        <v>Low Risk</v>
      </c>
    </row>
    <row r="431" spans="1:17" x14ac:dyDescent="0.3">
      <c r="A431" t="s">
        <v>640</v>
      </c>
      <c r="B431" t="s">
        <v>205</v>
      </c>
      <c r="C431">
        <v>29</v>
      </c>
      <c r="D431">
        <v>99404</v>
      </c>
      <c r="E431">
        <v>436078</v>
      </c>
      <c r="F431">
        <v>10.37</v>
      </c>
      <c r="G431">
        <v>240</v>
      </c>
      <c r="H431">
        <v>493</v>
      </c>
      <c r="I431" t="s">
        <v>31</v>
      </c>
      <c r="J431" t="s">
        <v>16</v>
      </c>
      <c r="K431">
        <v>4316</v>
      </c>
      <c r="L431" t="s">
        <v>34</v>
      </c>
      <c r="M431" s="8">
        <v>44686</v>
      </c>
      <c r="N431" t="str">
        <f>_xlfn.XLOOKUP(B431,Customer_Master!A:A,Customer_Master!C:C,"Not Found")</f>
        <v>Delhi</v>
      </c>
      <c r="O431" t="str">
        <f>_xlfn.XLOOKUP(B431,Customer_Master!A:A,Customer_Master!D:D,"Not Found")</f>
        <v>Business Owner</v>
      </c>
      <c r="P431" t="str">
        <f>_xlfn.XLOOKUP(B431,Customer_Master!A:A,Customer_Master!E:E,"Not Found")</f>
        <v>Low</v>
      </c>
      <c r="Q431" t="str" cm="1">
        <f t="array" ref="Q431">_xlfn.IFS(H431&lt;600,"High Risk",H431&lt;=750,"Medium Risk",TRUE,"Low Risk")</f>
        <v>High Risk</v>
      </c>
    </row>
    <row r="432" spans="1:17" x14ac:dyDescent="0.3">
      <c r="A432" t="s">
        <v>641</v>
      </c>
      <c r="B432" t="s">
        <v>472</v>
      </c>
      <c r="C432">
        <v>48</v>
      </c>
      <c r="D432">
        <v>97923</v>
      </c>
      <c r="E432">
        <v>1020881</v>
      </c>
      <c r="F432">
        <v>13.44</v>
      </c>
      <c r="G432">
        <v>24</v>
      </c>
      <c r="H432">
        <v>533</v>
      </c>
      <c r="I432" t="s">
        <v>15</v>
      </c>
      <c r="J432" t="s">
        <v>39</v>
      </c>
      <c r="K432">
        <v>48746</v>
      </c>
      <c r="L432" t="s">
        <v>17</v>
      </c>
      <c r="M432" s="8">
        <v>45409</v>
      </c>
      <c r="N432" t="str">
        <f>_xlfn.XLOOKUP(B432,Customer_Master!A:A,Customer_Master!C:C,"Not Found")</f>
        <v>Bangalore</v>
      </c>
      <c r="O432" t="str">
        <f>_xlfn.XLOOKUP(B432,Customer_Master!A:A,Customer_Master!D:D,"Not Found")</f>
        <v>Business Owner</v>
      </c>
      <c r="P432" t="str">
        <f>_xlfn.XLOOKUP(B432,Customer_Master!A:A,Customer_Master!E:E,"Not Found")</f>
        <v>Medium</v>
      </c>
      <c r="Q432" t="str" cm="1">
        <f t="array" ref="Q432">_xlfn.IFS(H432&lt;600,"High Risk",H432&lt;=750,"Medium Risk",TRUE,"Low Risk")</f>
        <v>High Risk</v>
      </c>
    </row>
    <row r="433" spans="1:17" x14ac:dyDescent="0.3">
      <c r="A433" t="s">
        <v>642</v>
      </c>
      <c r="B433" t="s">
        <v>310</v>
      </c>
      <c r="C433">
        <v>57</v>
      </c>
      <c r="D433">
        <v>129693</v>
      </c>
      <c r="E433">
        <v>520971</v>
      </c>
      <c r="F433">
        <v>8.06</v>
      </c>
      <c r="G433">
        <v>12</v>
      </c>
      <c r="H433">
        <v>674</v>
      </c>
      <c r="I433" t="s">
        <v>27</v>
      </c>
      <c r="J433" t="s">
        <v>28</v>
      </c>
      <c r="K433">
        <v>45333</v>
      </c>
      <c r="L433" t="s">
        <v>22</v>
      </c>
      <c r="M433" s="8">
        <v>45158</v>
      </c>
      <c r="N433" t="str">
        <f>_xlfn.XLOOKUP(B433,Customer_Master!A:A,Customer_Master!C:C,"Not Found")</f>
        <v>Bangalore</v>
      </c>
      <c r="O433" t="str">
        <f>_xlfn.XLOOKUP(B433,Customer_Master!A:A,Customer_Master!D:D,"Not Found")</f>
        <v>Self-Employed</v>
      </c>
      <c r="P433" t="str">
        <f>_xlfn.XLOOKUP(B433,Customer_Master!A:A,Customer_Master!E:E,"Not Found")</f>
        <v>Low</v>
      </c>
      <c r="Q433" t="str" cm="1">
        <f t="array" ref="Q433">_xlfn.IFS(H433&lt;600,"High Risk",H433&lt;=750,"Medium Risk",TRUE,"Low Risk")</f>
        <v>Medium Risk</v>
      </c>
    </row>
    <row r="434" spans="1:17" x14ac:dyDescent="0.3">
      <c r="A434" t="s">
        <v>643</v>
      </c>
      <c r="B434" t="s">
        <v>51</v>
      </c>
      <c r="C434">
        <v>26</v>
      </c>
      <c r="D434">
        <v>48491</v>
      </c>
      <c r="E434">
        <v>215618</v>
      </c>
      <c r="F434">
        <v>13.04</v>
      </c>
      <c r="G434">
        <v>120</v>
      </c>
      <c r="H434">
        <v>821</v>
      </c>
      <c r="I434" t="s">
        <v>31</v>
      </c>
      <c r="J434" t="s">
        <v>16</v>
      </c>
      <c r="K434">
        <v>3224</v>
      </c>
      <c r="L434" t="s">
        <v>22</v>
      </c>
      <c r="M434" s="8">
        <v>45453</v>
      </c>
      <c r="N434" t="str">
        <f>_xlfn.XLOOKUP(B434,Customer_Master!A:A,Customer_Master!C:C,"Not Found")</f>
        <v>Bangalore</v>
      </c>
      <c r="O434" t="str">
        <f>_xlfn.XLOOKUP(B434,Customer_Master!A:A,Customer_Master!D:D,"Not Found")</f>
        <v>Business Owner</v>
      </c>
      <c r="P434" t="str">
        <f>_xlfn.XLOOKUP(B434,Customer_Master!A:A,Customer_Master!E:E,"Not Found")</f>
        <v>Medium</v>
      </c>
      <c r="Q434" t="str" cm="1">
        <f t="array" ref="Q434">_xlfn.IFS(H434&lt;600,"High Risk",H434&lt;=750,"Medium Risk",TRUE,"Low Risk")</f>
        <v>Low Risk</v>
      </c>
    </row>
    <row r="435" spans="1:17" x14ac:dyDescent="0.3">
      <c r="A435" t="s">
        <v>644</v>
      </c>
      <c r="B435" t="s">
        <v>540</v>
      </c>
      <c r="C435">
        <v>47</v>
      </c>
      <c r="D435">
        <v>171267</v>
      </c>
      <c r="E435">
        <v>1409033</v>
      </c>
      <c r="F435">
        <v>12.44</v>
      </c>
      <c r="G435">
        <v>36</v>
      </c>
      <c r="H435">
        <v>638</v>
      </c>
      <c r="I435" t="s">
        <v>15</v>
      </c>
      <c r="J435" t="s">
        <v>16</v>
      </c>
      <c r="K435">
        <v>47097</v>
      </c>
      <c r="L435" t="s">
        <v>22</v>
      </c>
      <c r="M435" s="8">
        <v>45538</v>
      </c>
      <c r="N435" t="str">
        <f>_xlfn.XLOOKUP(B435,Customer_Master!A:A,Customer_Master!C:C,"Not Found")</f>
        <v>Chennai</v>
      </c>
      <c r="O435" t="str">
        <f>_xlfn.XLOOKUP(B435,Customer_Master!A:A,Customer_Master!D:D,"Not Found")</f>
        <v>Salaried</v>
      </c>
      <c r="P435" t="str">
        <f>_xlfn.XLOOKUP(B435,Customer_Master!A:A,Customer_Master!E:E,"Not Found")</f>
        <v>Medium</v>
      </c>
      <c r="Q435" t="str" cm="1">
        <f t="array" ref="Q435">_xlfn.IFS(H435&lt;600,"High Risk",H435&lt;=750,"Medium Risk",TRUE,"Low Risk")</f>
        <v>Medium Risk</v>
      </c>
    </row>
    <row r="436" spans="1:17" x14ac:dyDescent="0.3">
      <c r="A436" t="s">
        <v>645</v>
      </c>
      <c r="B436" t="s">
        <v>483</v>
      </c>
      <c r="C436">
        <v>53</v>
      </c>
      <c r="D436">
        <v>42462</v>
      </c>
      <c r="E436">
        <v>339499</v>
      </c>
      <c r="F436">
        <v>16.010000000000002</v>
      </c>
      <c r="G436">
        <v>120</v>
      </c>
      <c r="H436">
        <v>736</v>
      </c>
      <c r="I436" t="s">
        <v>15</v>
      </c>
      <c r="J436" t="s">
        <v>39</v>
      </c>
      <c r="K436">
        <v>5689</v>
      </c>
      <c r="L436" t="s">
        <v>22</v>
      </c>
      <c r="M436" s="8">
        <v>44708</v>
      </c>
      <c r="N436" t="str">
        <f>_xlfn.XLOOKUP(B436,Customer_Master!A:A,Customer_Master!C:C,"Not Found")</f>
        <v>Hyderabad</v>
      </c>
      <c r="O436" t="str">
        <f>_xlfn.XLOOKUP(B436,Customer_Master!A:A,Customer_Master!D:D,"Not Found")</f>
        <v>Self-Employed</v>
      </c>
      <c r="P436" t="str">
        <f>_xlfn.XLOOKUP(B436,Customer_Master!A:A,Customer_Master!E:E,"Not Found")</f>
        <v>Medium</v>
      </c>
      <c r="Q436" t="str" cm="1">
        <f t="array" ref="Q436">_xlfn.IFS(H436&lt;600,"High Risk",H436&lt;=750,"Medium Risk",TRUE,"Low Risk")</f>
        <v>Medium Risk</v>
      </c>
    </row>
    <row r="437" spans="1:17" x14ac:dyDescent="0.3">
      <c r="A437" t="s">
        <v>646</v>
      </c>
      <c r="B437" t="s">
        <v>57</v>
      </c>
      <c r="C437">
        <v>45</v>
      </c>
      <c r="D437">
        <v>138737</v>
      </c>
      <c r="E437">
        <v>1313694</v>
      </c>
      <c r="F437">
        <v>11.97</v>
      </c>
      <c r="G437">
        <v>12</v>
      </c>
      <c r="H437">
        <v>763</v>
      </c>
      <c r="I437" t="s">
        <v>20</v>
      </c>
      <c r="J437" t="s">
        <v>39</v>
      </c>
      <c r="K437">
        <v>116702</v>
      </c>
      <c r="L437" t="s">
        <v>17</v>
      </c>
      <c r="M437" s="8">
        <v>45465</v>
      </c>
      <c r="N437" t="str">
        <f>_xlfn.XLOOKUP(B437,Customer_Master!A:A,Customer_Master!C:C,"Not Found")</f>
        <v>Pune</v>
      </c>
      <c r="O437" t="str">
        <f>_xlfn.XLOOKUP(B437,Customer_Master!A:A,Customer_Master!D:D,"Not Found")</f>
        <v>Salaried</v>
      </c>
      <c r="P437" t="str">
        <f>_xlfn.XLOOKUP(B437,Customer_Master!A:A,Customer_Master!E:E,"Not Found")</f>
        <v>Medium</v>
      </c>
      <c r="Q437" t="str" cm="1">
        <f t="array" ref="Q437">_xlfn.IFS(H437&lt;600,"High Risk",H437&lt;=750,"Medium Risk",TRUE,"Low Risk")</f>
        <v>Low Risk</v>
      </c>
    </row>
    <row r="438" spans="1:17" x14ac:dyDescent="0.3">
      <c r="A438" t="s">
        <v>647</v>
      </c>
      <c r="B438" t="s">
        <v>310</v>
      </c>
      <c r="C438">
        <v>39</v>
      </c>
      <c r="D438">
        <v>151875</v>
      </c>
      <c r="E438">
        <v>469760</v>
      </c>
      <c r="F438">
        <v>12.72</v>
      </c>
      <c r="G438">
        <v>12</v>
      </c>
      <c r="H438">
        <v>746</v>
      </c>
      <c r="I438" t="s">
        <v>31</v>
      </c>
      <c r="J438" t="s">
        <v>39</v>
      </c>
      <c r="K438">
        <v>41896</v>
      </c>
      <c r="L438" t="s">
        <v>22</v>
      </c>
      <c r="M438" s="8">
        <v>44781</v>
      </c>
      <c r="N438" t="str">
        <f>_xlfn.XLOOKUP(B438,Customer_Master!A:A,Customer_Master!C:C,"Not Found")</f>
        <v>Bangalore</v>
      </c>
      <c r="O438" t="str">
        <f>_xlfn.XLOOKUP(B438,Customer_Master!A:A,Customer_Master!D:D,"Not Found")</f>
        <v>Self-Employed</v>
      </c>
      <c r="P438" t="str">
        <f>_xlfn.XLOOKUP(B438,Customer_Master!A:A,Customer_Master!E:E,"Not Found")</f>
        <v>Low</v>
      </c>
      <c r="Q438" t="str" cm="1">
        <f t="array" ref="Q438">_xlfn.IFS(H438&lt;600,"High Risk",H438&lt;=750,"Medium Risk",TRUE,"Low Risk")</f>
        <v>Medium Risk</v>
      </c>
    </row>
    <row r="439" spans="1:17" x14ac:dyDescent="0.3">
      <c r="A439" t="s">
        <v>648</v>
      </c>
      <c r="B439" t="s">
        <v>451</v>
      </c>
      <c r="C439">
        <v>59</v>
      </c>
      <c r="D439">
        <v>60394</v>
      </c>
      <c r="E439">
        <v>265915</v>
      </c>
      <c r="F439">
        <v>15.75</v>
      </c>
      <c r="G439">
        <v>60</v>
      </c>
      <c r="H439">
        <v>789</v>
      </c>
      <c r="I439" t="s">
        <v>15</v>
      </c>
      <c r="J439" t="s">
        <v>39</v>
      </c>
      <c r="K439">
        <v>6431</v>
      </c>
      <c r="L439" t="s">
        <v>17</v>
      </c>
      <c r="M439" s="8">
        <v>45347</v>
      </c>
      <c r="N439" t="str">
        <f>_xlfn.XLOOKUP(B439,Customer_Master!A:A,Customer_Master!C:C,"Not Found")</f>
        <v>Delhi</v>
      </c>
      <c r="O439" t="str">
        <f>_xlfn.XLOOKUP(B439,Customer_Master!A:A,Customer_Master!D:D,"Not Found")</f>
        <v>Self-Employed</v>
      </c>
      <c r="P439" t="str">
        <f>_xlfn.XLOOKUP(B439,Customer_Master!A:A,Customer_Master!E:E,"Not Found")</f>
        <v>Medium</v>
      </c>
      <c r="Q439" t="str" cm="1">
        <f t="array" ref="Q439">_xlfn.IFS(H439&lt;600,"High Risk",H439&lt;=750,"Medium Risk",TRUE,"Low Risk")</f>
        <v>Low Risk</v>
      </c>
    </row>
    <row r="440" spans="1:17" x14ac:dyDescent="0.3">
      <c r="A440" t="s">
        <v>649</v>
      </c>
      <c r="B440" t="s">
        <v>26</v>
      </c>
      <c r="C440">
        <v>45</v>
      </c>
      <c r="D440">
        <v>79552</v>
      </c>
      <c r="E440">
        <v>226010</v>
      </c>
      <c r="F440">
        <v>15.34</v>
      </c>
      <c r="G440">
        <v>48</v>
      </c>
      <c r="H440">
        <v>836</v>
      </c>
      <c r="I440" t="s">
        <v>27</v>
      </c>
      <c r="J440" t="s">
        <v>28</v>
      </c>
      <c r="K440">
        <v>6329</v>
      </c>
      <c r="L440" t="s">
        <v>17</v>
      </c>
      <c r="M440" s="8">
        <v>44720</v>
      </c>
      <c r="N440" t="str">
        <f>_xlfn.XLOOKUP(B440,Customer_Master!A:A,Customer_Master!C:C,"Not Found")</f>
        <v>Chennai</v>
      </c>
      <c r="O440" t="str">
        <f>_xlfn.XLOOKUP(B440,Customer_Master!A:A,Customer_Master!D:D,"Not Found")</f>
        <v>Business Owner</v>
      </c>
      <c r="P440" t="str">
        <f>_xlfn.XLOOKUP(B440,Customer_Master!A:A,Customer_Master!E:E,"Not Found")</f>
        <v>High</v>
      </c>
      <c r="Q440" t="str" cm="1">
        <f t="array" ref="Q440">_xlfn.IFS(H440&lt;600,"High Risk",H440&lt;=750,"Medium Risk",TRUE,"Low Risk")</f>
        <v>Low Risk</v>
      </c>
    </row>
    <row r="441" spans="1:17" x14ac:dyDescent="0.3">
      <c r="A441" t="s">
        <v>650</v>
      </c>
      <c r="B441" t="s">
        <v>86</v>
      </c>
      <c r="C441">
        <v>45</v>
      </c>
      <c r="D441">
        <v>87042</v>
      </c>
      <c r="E441">
        <v>497421</v>
      </c>
      <c r="F441">
        <v>9.26</v>
      </c>
      <c r="G441">
        <v>36</v>
      </c>
      <c r="H441">
        <v>779</v>
      </c>
      <c r="I441" t="s">
        <v>15</v>
      </c>
      <c r="J441" t="s">
        <v>16</v>
      </c>
      <c r="K441">
        <v>15878</v>
      </c>
      <c r="L441" t="s">
        <v>22</v>
      </c>
      <c r="M441" s="8">
        <v>45419</v>
      </c>
      <c r="N441" t="str">
        <f>_xlfn.XLOOKUP(B441,Customer_Master!A:A,Customer_Master!C:C,"Not Found")</f>
        <v>Delhi</v>
      </c>
      <c r="O441" t="str">
        <f>_xlfn.XLOOKUP(B441,Customer_Master!A:A,Customer_Master!D:D,"Not Found")</f>
        <v>Business Owner</v>
      </c>
      <c r="P441" t="str">
        <f>_xlfn.XLOOKUP(B441,Customer_Master!A:A,Customer_Master!E:E,"Not Found")</f>
        <v>High</v>
      </c>
      <c r="Q441" t="str" cm="1">
        <f t="array" ref="Q441">_xlfn.IFS(H441&lt;600,"High Risk",H441&lt;=750,"Medium Risk",TRUE,"Low Risk")</f>
        <v>Low Risk</v>
      </c>
    </row>
    <row r="442" spans="1:17" x14ac:dyDescent="0.3">
      <c r="A442" t="s">
        <v>651</v>
      </c>
      <c r="B442" t="s">
        <v>338</v>
      </c>
      <c r="C442">
        <v>43</v>
      </c>
      <c r="D442">
        <v>190588</v>
      </c>
      <c r="E442">
        <v>1589864</v>
      </c>
      <c r="F442">
        <v>10.68</v>
      </c>
      <c r="G442">
        <v>24</v>
      </c>
      <c r="H442">
        <v>597</v>
      </c>
      <c r="I442" t="s">
        <v>27</v>
      </c>
      <c r="J442" t="s">
        <v>39</v>
      </c>
      <c r="K442">
        <v>73864</v>
      </c>
      <c r="L442" t="s">
        <v>17</v>
      </c>
      <c r="M442" s="8">
        <v>44983</v>
      </c>
      <c r="N442" t="str">
        <f>_xlfn.XLOOKUP(B442,Customer_Master!A:A,Customer_Master!C:C,"Not Found")</f>
        <v>Delhi</v>
      </c>
      <c r="O442" t="str">
        <f>_xlfn.XLOOKUP(B442,Customer_Master!A:A,Customer_Master!D:D,"Not Found")</f>
        <v>Business Owner</v>
      </c>
      <c r="P442" t="str">
        <f>_xlfn.XLOOKUP(B442,Customer_Master!A:A,Customer_Master!E:E,"Not Found")</f>
        <v>Medium</v>
      </c>
      <c r="Q442" t="str" cm="1">
        <f t="array" ref="Q442">_xlfn.IFS(H442&lt;600,"High Risk",H442&lt;=750,"Medium Risk",TRUE,"Low Risk")</f>
        <v>High Risk</v>
      </c>
    </row>
    <row r="443" spans="1:17" x14ac:dyDescent="0.3">
      <c r="A443" t="s">
        <v>652</v>
      </c>
      <c r="B443" t="s">
        <v>178</v>
      </c>
      <c r="C443">
        <v>40</v>
      </c>
      <c r="D443">
        <v>197590</v>
      </c>
      <c r="E443">
        <v>1863212</v>
      </c>
      <c r="F443">
        <v>11.55</v>
      </c>
      <c r="G443">
        <v>12</v>
      </c>
      <c r="H443">
        <v>831</v>
      </c>
      <c r="I443" t="s">
        <v>27</v>
      </c>
      <c r="J443" t="s">
        <v>39</v>
      </c>
      <c r="K443">
        <v>165152</v>
      </c>
      <c r="L443" t="s">
        <v>22</v>
      </c>
      <c r="M443" s="8">
        <v>45374</v>
      </c>
      <c r="N443" t="str">
        <f>_xlfn.XLOOKUP(B443,Customer_Master!A:A,Customer_Master!C:C,"Not Found")</f>
        <v>Delhi</v>
      </c>
      <c r="O443" t="str">
        <f>_xlfn.XLOOKUP(B443,Customer_Master!A:A,Customer_Master!D:D,"Not Found")</f>
        <v>Business Owner</v>
      </c>
      <c r="P443" t="str">
        <f>_xlfn.XLOOKUP(B443,Customer_Master!A:A,Customer_Master!E:E,"Not Found")</f>
        <v>Low</v>
      </c>
      <c r="Q443" t="str" cm="1">
        <f t="array" ref="Q443">_xlfn.IFS(H443&lt;600,"High Risk",H443&lt;=750,"Medium Risk",TRUE,"Low Risk")</f>
        <v>Low Risk</v>
      </c>
    </row>
    <row r="444" spans="1:17" x14ac:dyDescent="0.3">
      <c r="A444" t="s">
        <v>653</v>
      </c>
      <c r="B444" t="s">
        <v>436</v>
      </c>
      <c r="C444">
        <v>33</v>
      </c>
      <c r="D444">
        <v>44936</v>
      </c>
      <c r="E444">
        <v>1376455</v>
      </c>
      <c r="F444">
        <v>9.42</v>
      </c>
      <c r="G444">
        <v>60</v>
      </c>
      <c r="H444">
        <v>529</v>
      </c>
      <c r="I444" t="s">
        <v>20</v>
      </c>
      <c r="J444" t="s">
        <v>16</v>
      </c>
      <c r="K444">
        <v>28854</v>
      </c>
      <c r="L444" t="s">
        <v>22</v>
      </c>
      <c r="M444" s="8">
        <v>45367</v>
      </c>
      <c r="N444" t="str">
        <f>_xlfn.XLOOKUP(B444,Customer_Master!A:A,Customer_Master!C:C,"Not Found")</f>
        <v>Bangalore</v>
      </c>
      <c r="O444" t="str">
        <f>_xlfn.XLOOKUP(B444,Customer_Master!A:A,Customer_Master!D:D,"Not Found")</f>
        <v>Salaried</v>
      </c>
      <c r="P444" t="str">
        <f>_xlfn.XLOOKUP(B444,Customer_Master!A:A,Customer_Master!E:E,"Not Found")</f>
        <v>Low</v>
      </c>
      <c r="Q444" t="str" cm="1">
        <f t="array" ref="Q444">_xlfn.IFS(H444&lt;600,"High Risk",H444&lt;=750,"Medium Risk",TRUE,"Low Risk")</f>
        <v>High Risk</v>
      </c>
    </row>
    <row r="445" spans="1:17" x14ac:dyDescent="0.3">
      <c r="A445" t="s">
        <v>654</v>
      </c>
      <c r="B445" t="s">
        <v>212</v>
      </c>
      <c r="C445">
        <v>47</v>
      </c>
      <c r="D445">
        <v>36693</v>
      </c>
      <c r="E445">
        <v>1797442</v>
      </c>
      <c r="F445">
        <v>8.18</v>
      </c>
      <c r="G445">
        <v>180</v>
      </c>
      <c r="H445">
        <v>687</v>
      </c>
      <c r="I445" t="s">
        <v>31</v>
      </c>
      <c r="J445" t="s">
        <v>39</v>
      </c>
      <c r="K445">
        <v>17365</v>
      </c>
      <c r="L445" t="s">
        <v>22</v>
      </c>
      <c r="M445" s="8">
        <v>45002</v>
      </c>
      <c r="N445" t="str">
        <f>_xlfn.XLOOKUP(B445,Customer_Master!A:A,Customer_Master!C:C,"Not Found")</f>
        <v>Chennai</v>
      </c>
      <c r="O445" t="str">
        <f>_xlfn.XLOOKUP(B445,Customer_Master!A:A,Customer_Master!D:D,"Not Found")</f>
        <v>Business Owner</v>
      </c>
      <c r="P445" t="str">
        <f>_xlfn.XLOOKUP(B445,Customer_Master!A:A,Customer_Master!E:E,"Not Found")</f>
        <v>High</v>
      </c>
      <c r="Q445" t="str" cm="1">
        <f t="array" ref="Q445">_xlfn.IFS(H445&lt;600,"High Risk",H445&lt;=750,"Medium Risk",TRUE,"Low Risk")</f>
        <v>Medium Risk</v>
      </c>
    </row>
    <row r="446" spans="1:17" x14ac:dyDescent="0.3">
      <c r="A446" t="s">
        <v>655</v>
      </c>
      <c r="B446" t="s">
        <v>525</v>
      </c>
      <c r="C446">
        <v>36</v>
      </c>
      <c r="D446">
        <v>118402</v>
      </c>
      <c r="E446">
        <v>365341</v>
      </c>
      <c r="F446">
        <v>12.02</v>
      </c>
      <c r="G446">
        <v>12</v>
      </c>
      <c r="H446">
        <v>812</v>
      </c>
      <c r="I446" t="s">
        <v>15</v>
      </c>
      <c r="J446" t="s">
        <v>21</v>
      </c>
      <c r="K446">
        <v>32464</v>
      </c>
      <c r="L446" t="s">
        <v>22</v>
      </c>
      <c r="M446" s="8">
        <v>45323</v>
      </c>
      <c r="N446" t="str">
        <f>_xlfn.XLOOKUP(B446,Customer_Master!A:A,Customer_Master!C:C,"Not Found")</f>
        <v>Hyderabad</v>
      </c>
      <c r="O446" t="str">
        <f>_xlfn.XLOOKUP(B446,Customer_Master!A:A,Customer_Master!D:D,"Not Found")</f>
        <v>Business Owner</v>
      </c>
      <c r="P446" t="str">
        <f>_xlfn.XLOOKUP(B446,Customer_Master!A:A,Customer_Master!E:E,"Not Found")</f>
        <v>Medium</v>
      </c>
      <c r="Q446" t="str" cm="1">
        <f t="array" ref="Q446">_xlfn.IFS(H446&lt;600,"High Risk",H446&lt;=750,"Medium Risk",TRUE,"Low Risk")</f>
        <v>Low Risk</v>
      </c>
    </row>
    <row r="447" spans="1:17" x14ac:dyDescent="0.3">
      <c r="A447" t="s">
        <v>656</v>
      </c>
      <c r="B447" t="s">
        <v>188</v>
      </c>
      <c r="C447">
        <v>45</v>
      </c>
      <c r="D447">
        <v>198646</v>
      </c>
      <c r="E447">
        <v>1190743</v>
      </c>
      <c r="F447">
        <v>9.0500000000000007</v>
      </c>
      <c r="G447">
        <v>36</v>
      </c>
      <c r="H447">
        <v>744</v>
      </c>
      <c r="I447" t="s">
        <v>27</v>
      </c>
      <c r="J447" t="s">
        <v>39</v>
      </c>
      <c r="K447">
        <v>37893</v>
      </c>
      <c r="L447" t="s">
        <v>22</v>
      </c>
      <c r="M447" s="8">
        <v>45394</v>
      </c>
      <c r="N447" t="str">
        <f>_xlfn.XLOOKUP(B447,Customer_Master!A:A,Customer_Master!C:C,"Not Found")</f>
        <v>Delhi</v>
      </c>
      <c r="O447" t="str">
        <f>_xlfn.XLOOKUP(B447,Customer_Master!A:A,Customer_Master!D:D,"Not Found")</f>
        <v>Salaried</v>
      </c>
      <c r="P447" t="str">
        <f>_xlfn.XLOOKUP(B447,Customer_Master!A:A,Customer_Master!E:E,"Not Found")</f>
        <v>High</v>
      </c>
      <c r="Q447" t="str" cm="1">
        <f t="array" ref="Q447">_xlfn.IFS(H447&lt;600,"High Risk",H447&lt;=750,"Medium Risk",TRUE,"Low Risk")</f>
        <v>Medium Risk</v>
      </c>
    </row>
    <row r="448" spans="1:17" x14ac:dyDescent="0.3">
      <c r="A448" t="s">
        <v>657</v>
      </c>
      <c r="B448" t="s">
        <v>161</v>
      </c>
      <c r="C448">
        <v>46</v>
      </c>
      <c r="D448">
        <v>123988</v>
      </c>
      <c r="E448">
        <v>1278980</v>
      </c>
      <c r="F448">
        <v>10.14</v>
      </c>
      <c r="G448">
        <v>48</v>
      </c>
      <c r="H448">
        <v>465</v>
      </c>
      <c r="I448" t="s">
        <v>31</v>
      </c>
      <c r="J448" t="s">
        <v>16</v>
      </c>
      <c r="K448">
        <v>32524</v>
      </c>
      <c r="L448" t="s">
        <v>17</v>
      </c>
      <c r="M448" s="8">
        <v>44901</v>
      </c>
      <c r="N448" t="str">
        <f>_xlfn.XLOOKUP(B448,Customer_Master!A:A,Customer_Master!C:C,"Not Found")</f>
        <v>Chennai</v>
      </c>
      <c r="O448" t="str">
        <f>_xlfn.XLOOKUP(B448,Customer_Master!A:A,Customer_Master!D:D,"Not Found")</f>
        <v>Business Owner</v>
      </c>
      <c r="P448" t="str">
        <f>_xlfn.XLOOKUP(B448,Customer_Master!A:A,Customer_Master!E:E,"Not Found")</f>
        <v>Low</v>
      </c>
      <c r="Q448" t="str" cm="1">
        <f t="array" ref="Q448">_xlfn.IFS(H448&lt;600,"High Risk",H448&lt;=750,"Medium Risk",TRUE,"Low Risk")</f>
        <v>High Risk</v>
      </c>
    </row>
    <row r="449" spans="1:17" x14ac:dyDescent="0.3">
      <c r="A449" t="s">
        <v>658</v>
      </c>
      <c r="B449" t="s">
        <v>45</v>
      </c>
      <c r="C449">
        <v>32</v>
      </c>
      <c r="D449">
        <v>87172</v>
      </c>
      <c r="E449">
        <v>843311</v>
      </c>
      <c r="F449">
        <v>15.74</v>
      </c>
      <c r="G449">
        <v>36</v>
      </c>
      <c r="H449">
        <v>501</v>
      </c>
      <c r="I449" t="s">
        <v>31</v>
      </c>
      <c r="J449" t="s">
        <v>21</v>
      </c>
      <c r="K449">
        <v>29540</v>
      </c>
      <c r="L449" t="s">
        <v>34</v>
      </c>
      <c r="M449" s="8">
        <v>44746</v>
      </c>
      <c r="N449" t="str">
        <f>_xlfn.XLOOKUP(B449,Customer_Master!A:A,Customer_Master!C:C,"Not Found")</f>
        <v>Pune</v>
      </c>
      <c r="O449" t="str">
        <f>_xlfn.XLOOKUP(B449,Customer_Master!A:A,Customer_Master!D:D,"Not Found")</f>
        <v>Self-Employed</v>
      </c>
      <c r="P449" t="str">
        <f>_xlfn.XLOOKUP(B449,Customer_Master!A:A,Customer_Master!E:E,"Not Found")</f>
        <v>Low</v>
      </c>
      <c r="Q449" t="str" cm="1">
        <f t="array" ref="Q449">_xlfn.IFS(H449&lt;600,"High Risk",H449&lt;=750,"Medium Risk",TRUE,"Low Risk")</f>
        <v>High Risk</v>
      </c>
    </row>
    <row r="450" spans="1:17" x14ac:dyDescent="0.3">
      <c r="A450" t="s">
        <v>659</v>
      </c>
      <c r="B450" t="s">
        <v>76</v>
      </c>
      <c r="C450">
        <v>38</v>
      </c>
      <c r="D450">
        <v>101477</v>
      </c>
      <c r="E450">
        <v>1769124</v>
      </c>
      <c r="F450">
        <v>8.15</v>
      </c>
      <c r="G450">
        <v>12</v>
      </c>
      <c r="H450">
        <v>611</v>
      </c>
      <c r="I450" t="s">
        <v>27</v>
      </c>
      <c r="J450" t="s">
        <v>21</v>
      </c>
      <c r="K450">
        <v>154016</v>
      </c>
      <c r="L450" t="s">
        <v>17</v>
      </c>
      <c r="M450" s="8">
        <v>45303</v>
      </c>
      <c r="N450" t="str">
        <f>_xlfn.XLOOKUP(B450,Customer_Master!A:A,Customer_Master!C:C,"Not Found")</f>
        <v>Pune</v>
      </c>
      <c r="O450" t="str">
        <f>_xlfn.XLOOKUP(B450,Customer_Master!A:A,Customer_Master!D:D,"Not Found")</f>
        <v>Self-Employed</v>
      </c>
      <c r="P450" t="str">
        <f>_xlfn.XLOOKUP(B450,Customer_Master!A:A,Customer_Master!E:E,"Not Found")</f>
        <v>Low</v>
      </c>
      <c r="Q450" t="str" cm="1">
        <f t="array" ref="Q450">_xlfn.IFS(H450&lt;600,"High Risk",H450&lt;=750,"Medium Risk",TRUE,"Low Risk")</f>
        <v>Medium Risk</v>
      </c>
    </row>
    <row r="451" spans="1:17" x14ac:dyDescent="0.3">
      <c r="A451" t="s">
        <v>660</v>
      </c>
      <c r="B451" t="s">
        <v>661</v>
      </c>
      <c r="C451">
        <v>24</v>
      </c>
      <c r="D451">
        <v>104605</v>
      </c>
      <c r="E451">
        <v>1312405</v>
      </c>
      <c r="F451">
        <v>11.17</v>
      </c>
      <c r="G451">
        <v>120</v>
      </c>
      <c r="H451">
        <v>640</v>
      </c>
      <c r="I451" t="s">
        <v>15</v>
      </c>
      <c r="J451" t="s">
        <v>39</v>
      </c>
      <c r="K451">
        <v>18205</v>
      </c>
      <c r="L451" t="s">
        <v>22</v>
      </c>
      <c r="M451" s="8">
        <v>45422</v>
      </c>
      <c r="N451" t="str">
        <f>_xlfn.XLOOKUP(B451,Customer_Master!A:A,Customer_Master!C:C,"Not Found")</f>
        <v>Pune</v>
      </c>
      <c r="O451" t="str">
        <f>_xlfn.XLOOKUP(B451,Customer_Master!A:A,Customer_Master!D:D,"Not Found")</f>
        <v>Business Owner</v>
      </c>
      <c r="P451" t="str">
        <f>_xlfn.XLOOKUP(B451,Customer_Master!A:A,Customer_Master!E:E,"Not Found")</f>
        <v>Medium</v>
      </c>
      <c r="Q451" t="str" cm="1">
        <f t="array" ref="Q451">_xlfn.IFS(H451&lt;600,"High Risk",H451&lt;=750,"Medium Risk",TRUE,"Low Risk")</f>
        <v>Medium Risk</v>
      </c>
    </row>
    <row r="452" spans="1:17" x14ac:dyDescent="0.3">
      <c r="A452" t="s">
        <v>662</v>
      </c>
      <c r="B452" t="s">
        <v>276</v>
      </c>
      <c r="C452">
        <v>51</v>
      </c>
      <c r="D452">
        <v>118082</v>
      </c>
      <c r="E452">
        <v>1938035</v>
      </c>
      <c r="F452">
        <v>8.6199999999999992</v>
      </c>
      <c r="G452">
        <v>180</v>
      </c>
      <c r="H452">
        <v>685</v>
      </c>
      <c r="I452" t="s">
        <v>27</v>
      </c>
      <c r="J452" t="s">
        <v>39</v>
      </c>
      <c r="K452">
        <v>19221</v>
      </c>
      <c r="L452" t="s">
        <v>22</v>
      </c>
      <c r="M452" s="8">
        <v>44777</v>
      </c>
      <c r="N452" t="str">
        <f>_xlfn.XLOOKUP(B452,Customer_Master!A:A,Customer_Master!C:C,"Not Found")</f>
        <v>Pune</v>
      </c>
      <c r="O452" t="str">
        <f>_xlfn.XLOOKUP(B452,Customer_Master!A:A,Customer_Master!D:D,"Not Found")</f>
        <v>Salaried</v>
      </c>
      <c r="P452" t="str">
        <f>_xlfn.XLOOKUP(B452,Customer_Master!A:A,Customer_Master!E:E,"Not Found")</f>
        <v>High</v>
      </c>
      <c r="Q452" t="str" cm="1">
        <f t="array" ref="Q452">_xlfn.IFS(H452&lt;600,"High Risk",H452&lt;=750,"Medium Risk",TRUE,"Low Risk")</f>
        <v>Medium Risk</v>
      </c>
    </row>
    <row r="453" spans="1:17" x14ac:dyDescent="0.3">
      <c r="A453" t="s">
        <v>663</v>
      </c>
      <c r="B453" t="s">
        <v>38</v>
      </c>
      <c r="C453">
        <v>39</v>
      </c>
      <c r="D453">
        <v>173184</v>
      </c>
      <c r="E453">
        <v>1029599</v>
      </c>
      <c r="F453">
        <v>14.79</v>
      </c>
      <c r="G453">
        <v>24</v>
      </c>
      <c r="H453">
        <v>739</v>
      </c>
      <c r="I453" t="s">
        <v>20</v>
      </c>
      <c r="J453" t="s">
        <v>28</v>
      </c>
      <c r="K453">
        <v>49819</v>
      </c>
      <c r="L453" t="s">
        <v>22</v>
      </c>
      <c r="M453" s="8">
        <v>44736</v>
      </c>
      <c r="N453" t="str">
        <f>_xlfn.XLOOKUP(B453,Customer_Master!A:A,Customer_Master!C:C,"Not Found")</f>
        <v>Pune</v>
      </c>
      <c r="O453" t="str">
        <f>_xlfn.XLOOKUP(B453,Customer_Master!A:A,Customer_Master!D:D,"Not Found")</f>
        <v>Salaried</v>
      </c>
      <c r="P453" t="str">
        <f>_xlfn.XLOOKUP(B453,Customer_Master!A:A,Customer_Master!E:E,"Not Found")</f>
        <v>High</v>
      </c>
      <c r="Q453" t="str" cm="1">
        <f t="array" ref="Q453">_xlfn.IFS(H453&lt;600,"High Risk",H453&lt;=750,"Medium Risk",TRUE,"Low Risk")</f>
        <v>Medium Risk</v>
      </c>
    </row>
    <row r="454" spans="1:17" x14ac:dyDescent="0.3">
      <c r="A454" t="s">
        <v>664</v>
      </c>
      <c r="B454" t="s">
        <v>218</v>
      </c>
      <c r="C454">
        <v>51</v>
      </c>
      <c r="D454">
        <v>122050</v>
      </c>
      <c r="E454">
        <v>1431821</v>
      </c>
      <c r="F454">
        <v>9.7100000000000009</v>
      </c>
      <c r="G454">
        <v>12</v>
      </c>
      <c r="H454">
        <v>662</v>
      </c>
      <c r="I454" t="s">
        <v>15</v>
      </c>
      <c r="J454" t="s">
        <v>16</v>
      </c>
      <c r="K454">
        <v>125687</v>
      </c>
      <c r="L454" t="s">
        <v>17</v>
      </c>
      <c r="M454" s="8">
        <v>44688</v>
      </c>
      <c r="N454" t="str">
        <f>_xlfn.XLOOKUP(B454,Customer_Master!A:A,Customer_Master!C:C,"Not Found")</f>
        <v>Pune</v>
      </c>
      <c r="O454" t="str">
        <f>_xlfn.XLOOKUP(B454,Customer_Master!A:A,Customer_Master!D:D,"Not Found")</f>
        <v>Salaried</v>
      </c>
      <c r="P454" t="str">
        <f>_xlfn.XLOOKUP(B454,Customer_Master!A:A,Customer_Master!E:E,"Not Found")</f>
        <v>Low</v>
      </c>
      <c r="Q454" t="str" cm="1">
        <f t="array" ref="Q454">_xlfn.IFS(H454&lt;600,"High Risk",H454&lt;=750,"Medium Risk",TRUE,"Low Risk")</f>
        <v>Medium Risk</v>
      </c>
    </row>
    <row r="455" spans="1:17" x14ac:dyDescent="0.3">
      <c r="A455" t="s">
        <v>665</v>
      </c>
      <c r="B455" t="s">
        <v>33</v>
      </c>
      <c r="C455">
        <v>32</v>
      </c>
      <c r="D455">
        <v>51871</v>
      </c>
      <c r="E455">
        <v>102869</v>
      </c>
      <c r="F455">
        <v>16.09</v>
      </c>
      <c r="G455">
        <v>240</v>
      </c>
      <c r="H455">
        <v>831</v>
      </c>
      <c r="I455" t="s">
        <v>15</v>
      </c>
      <c r="J455" t="s">
        <v>21</v>
      </c>
      <c r="K455">
        <v>1438</v>
      </c>
      <c r="L455" t="s">
        <v>17</v>
      </c>
      <c r="M455" s="8">
        <v>45416</v>
      </c>
      <c r="N455" t="str">
        <f>_xlfn.XLOOKUP(B455,Customer_Master!A:A,Customer_Master!C:C,"Not Found")</f>
        <v>Bangalore</v>
      </c>
      <c r="O455" t="str">
        <f>_xlfn.XLOOKUP(B455,Customer_Master!A:A,Customer_Master!D:D,"Not Found")</f>
        <v>Salaried</v>
      </c>
      <c r="P455" t="str">
        <f>_xlfn.XLOOKUP(B455,Customer_Master!A:A,Customer_Master!E:E,"Not Found")</f>
        <v>Medium</v>
      </c>
      <c r="Q455" t="str" cm="1">
        <f t="array" ref="Q455">_xlfn.IFS(H455&lt;600,"High Risk",H455&lt;=750,"Medium Risk",TRUE,"Low Risk")</f>
        <v>Low Risk</v>
      </c>
    </row>
    <row r="456" spans="1:17" x14ac:dyDescent="0.3">
      <c r="A456" t="s">
        <v>666</v>
      </c>
      <c r="B456" t="s">
        <v>47</v>
      </c>
      <c r="C456">
        <v>50</v>
      </c>
      <c r="D456">
        <v>192926</v>
      </c>
      <c r="E456">
        <v>1156923</v>
      </c>
      <c r="F456">
        <v>12.53</v>
      </c>
      <c r="G456">
        <v>60</v>
      </c>
      <c r="H456">
        <v>763</v>
      </c>
      <c r="I456" t="s">
        <v>27</v>
      </c>
      <c r="J456" t="s">
        <v>39</v>
      </c>
      <c r="K456">
        <v>26046</v>
      </c>
      <c r="L456" t="s">
        <v>22</v>
      </c>
      <c r="M456" s="8">
        <v>45362</v>
      </c>
      <c r="N456" t="str">
        <f>_xlfn.XLOOKUP(B456,Customer_Master!A:A,Customer_Master!C:C,"Not Found")</f>
        <v>Mumbai</v>
      </c>
      <c r="O456" t="str">
        <f>_xlfn.XLOOKUP(B456,Customer_Master!A:A,Customer_Master!D:D,"Not Found")</f>
        <v>Business Owner</v>
      </c>
      <c r="P456" t="str">
        <f>_xlfn.XLOOKUP(B456,Customer_Master!A:A,Customer_Master!E:E,"Not Found")</f>
        <v>High</v>
      </c>
      <c r="Q456" t="str" cm="1">
        <f t="array" ref="Q456">_xlfn.IFS(H456&lt;600,"High Risk",H456&lt;=750,"Medium Risk",TRUE,"Low Risk")</f>
        <v>Low Risk</v>
      </c>
    </row>
    <row r="457" spans="1:17" x14ac:dyDescent="0.3">
      <c r="A457" t="s">
        <v>667</v>
      </c>
      <c r="B457" t="s">
        <v>574</v>
      </c>
      <c r="C457">
        <v>40</v>
      </c>
      <c r="D457">
        <v>38347</v>
      </c>
      <c r="E457">
        <v>1585162</v>
      </c>
      <c r="F457">
        <v>13.37</v>
      </c>
      <c r="G457">
        <v>24</v>
      </c>
      <c r="H457">
        <v>641</v>
      </c>
      <c r="I457" t="s">
        <v>31</v>
      </c>
      <c r="J457" t="s">
        <v>28</v>
      </c>
      <c r="K457">
        <v>75637</v>
      </c>
      <c r="L457" t="s">
        <v>22</v>
      </c>
      <c r="M457" s="8">
        <v>45160</v>
      </c>
      <c r="N457" t="str">
        <f>_xlfn.XLOOKUP(B457,Customer_Master!A:A,Customer_Master!C:C,"Not Found")</f>
        <v>Mumbai</v>
      </c>
      <c r="O457" t="str">
        <f>_xlfn.XLOOKUP(B457,Customer_Master!A:A,Customer_Master!D:D,"Not Found")</f>
        <v>Self-Employed</v>
      </c>
      <c r="P457" t="str">
        <f>_xlfn.XLOOKUP(B457,Customer_Master!A:A,Customer_Master!E:E,"Not Found")</f>
        <v>Low</v>
      </c>
      <c r="Q457" t="str" cm="1">
        <f t="array" ref="Q457">_xlfn.IFS(H457&lt;600,"High Risk",H457&lt;=750,"Medium Risk",TRUE,"Low Risk")</f>
        <v>Medium Risk</v>
      </c>
    </row>
    <row r="458" spans="1:17" x14ac:dyDescent="0.3">
      <c r="A458" t="s">
        <v>668</v>
      </c>
      <c r="B458" t="s">
        <v>210</v>
      </c>
      <c r="C458">
        <v>58</v>
      </c>
      <c r="D458">
        <v>36071</v>
      </c>
      <c r="E458">
        <v>1937769</v>
      </c>
      <c r="F458">
        <v>9.07</v>
      </c>
      <c r="G458">
        <v>240</v>
      </c>
      <c r="H458">
        <v>487</v>
      </c>
      <c r="I458" t="s">
        <v>31</v>
      </c>
      <c r="J458" t="s">
        <v>28</v>
      </c>
      <c r="K458">
        <v>17522</v>
      </c>
      <c r="L458" t="s">
        <v>22</v>
      </c>
      <c r="M458" s="8">
        <v>44615</v>
      </c>
      <c r="N458" t="str">
        <f>_xlfn.XLOOKUP(B458,Customer_Master!A:A,Customer_Master!C:C,"Not Found")</f>
        <v>Hyderabad</v>
      </c>
      <c r="O458" t="str">
        <f>_xlfn.XLOOKUP(B458,Customer_Master!A:A,Customer_Master!D:D,"Not Found")</f>
        <v>Salaried</v>
      </c>
      <c r="P458" t="str">
        <f>_xlfn.XLOOKUP(B458,Customer_Master!A:A,Customer_Master!E:E,"Not Found")</f>
        <v>High</v>
      </c>
      <c r="Q458" t="str" cm="1">
        <f t="array" ref="Q458">_xlfn.IFS(H458&lt;600,"High Risk",H458&lt;=750,"Medium Risk",TRUE,"Low Risk")</f>
        <v>High Risk</v>
      </c>
    </row>
    <row r="459" spans="1:17" x14ac:dyDescent="0.3">
      <c r="A459" t="s">
        <v>669</v>
      </c>
      <c r="B459" t="s">
        <v>212</v>
      </c>
      <c r="C459">
        <v>24</v>
      </c>
      <c r="D459">
        <v>172001</v>
      </c>
      <c r="E459">
        <v>382416</v>
      </c>
      <c r="F459">
        <v>8.5</v>
      </c>
      <c r="G459">
        <v>36</v>
      </c>
      <c r="H459">
        <v>783</v>
      </c>
      <c r="I459" t="s">
        <v>15</v>
      </c>
      <c r="J459" t="s">
        <v>16</v>
      </c>
      <c r="K459">
        <v>12072</v>
      </c>
      <c r="L459" t="s">
        <v>22</v>
      </c>
      <c r="M459" s="8">
        <v>45026</v>
      </c>
      <c r="N459" t="str">
        <f>_xlfn.XLOOKUP(B459,Customer_Master!A:A,Customer_Master!C:C,"Not Found")</f>
        <v>Chennai</v>
      </c>
      <c r="O459" t="str">
        <f>_xlfn.XLOOKUP(B459,Customer_Master!A:A,Customer_Master!D:D,"Not Found")</f>
        <v>Business Owner</v>
      </c>
      <c r="P459" t="str">
        <f>_xlfn.XLOOKUP(B459,Customer_Master!A:A,Customer_Master!E:E,"Not Found")</f>
        <v>High</v>
      </c>
      <c r="Q459" t="str" cm="1">
        <f t="array" ref="Q459">_xlfn.IFS(H459&lt;600,"High Risk",H459&lt;=750,"Medium Risk",TRUE,"Low Risk")</f>
        <v>Low Risk</v>
      </c>
    </row>
    <row r="460" spans="1:17" x14ac:dyDescent="0.3">
      <c r="A460" t="s">
        <v>670</v>
      </c>
      <c r="B460" t="s">
        <v>582</v>
      </c>
      <c r="C460">
        <v>40</v>
      </c>
      <c r="D460">
        <v>27548</v>
      </c>
      <c r="E460">
        <v>1514327</v>
      </c>
      <c r="F460">
        <v>12.27</v>
      </c>
      <c r="G460">
        <v>240</v>
      </c>
      <c r="H460">
        <v>690</v>
      </c>
      <c r="I460" t="s">
        <v>27</v>
      </c>
      <c r="J460" t="s">
        <v>39</v>
      </c>
      <c r="K460">
        <v>16960</v>
      </c>
      <c r="L460" t="s">
        <v>22</v>
      </c>
      <c r="M460" s="8">
        <v>44897</v>
      </c>
      <c r="N460" t="str">
        <f>_xlfn.XLOOKUP(B460,Customer_Master!A:A,Customer_Master!C:C,"Not Found")</f>
        <v>Bangalore</v>
      </c>
      <c r="O460" t="str">
        <f>_xlfn.XLOOKUP(B460,Customer_Master!A:A,Customer_Master!D:D,"Not Found")</f>
        <v>Salaried</v>
      </c>
      <c r="P460" t="str">
        <f>_xlfn.XLOOKUP(B460,Customer_Master!A:A,Customer_Master!E:E,"Not Found")</f>
        <v>Medium</v>
      </c>
      <c r="Q460" t="str" cm="1">
        <f t="array" ref="Q460">_xlfn.IFS(H460&lt;600,"High Risk",H460&lt;=750,"Medium Risk",TRUE,"Low Risk")</f>
        <v>Medium Risk</v>
      </c>
    </row>
    <row r="461" spans="1:17" x14ac:dyDescent="0.3">
      <c r="A461" t="s">
        <v>671</v>
      </c>
      <c r="B461" t="s">
        <v>254</v>
      </c>
      <c r="C461">
        <v>33</v>
      </c>
      <c r="D461">
        <v>172636</v>
      </c>
      <c r="E461">
        <v>697758</v>
      </c>
      <c r="F461">
        <v>16.010000000000002</v>
      </c>
      <c r="G461">
        <v>48</v>
      </c>
      <c r="H461">
        <v>637</v>
      </c>
      <c r="I461" t="s">
        <v>27</v>
      </c>
      <c r="J461" t="s">
        <v>28</v>
      </c>
      <c r="K461">
        <v>19778</v>
      </c>
      <c r="L461" t="s">
        <v>17</v>
      </c>
      <c r="M461" s="8">
        <v>44801</v>
      </c>
      <c r="N461" t="str">
        <f>_xlfn.XLOOKUP(B461,Customer_Master!A:A,Customer_Master!C:C,"Not Found")</f>
        <v>Delhi</v>
      </c>
      <c r="O461" t="str">
        <f>_xlfn.XLOOKUP(B461,Customer_Master!A:A,Customer_Master!D:D,"Not Found")</f>
        <v>Self-Employed</v>
      </c>
      <c r="P461" t="str">
        <f>_xlfn.XLOOKUP(B461,Customer_Master!A:A,Customer_Master!E:E,"Not Found")</f>
        <v>Low</v>
      </c>
      <c r="Q461" t="str" cm="1">
        <f t="array" ref="Q461">_xlfn.IFS(H461&lt;600,"High Risk",H461&lt;=750,"Medium Risk",TRUE,"Low Risk")</f>
        <v>Medium Risk</v>
      </c>
    </row>
    <row r="462" spans="1:17" x14ac:dyDescent="0.3">
      <c r="A462" t="s">
        <v>672</v>
      </c>
      <c r="B462" t="s">
        <v>370</v>
      </c>
      <c r="C462">
        <v>40</v>
      </c>
      <c r="D462">
        <v>197651</v>
      </c>
      <c r="E462">
        <v>557074</v>
      </c>
      <c r="F462">
        <v>12.13</v>
      </c>
      <c r="G462">
        <v>24</v>
      </c>
      <c r="H462">
        <v>478</v>
      </c>
      <c r="I462" t="s">
        <v>27</v>
      </c>
      <c r="J462" t="s">
        <v>39</v>
      </c>
      <c r="K462">
        <v>26257</v>
      </c>
      <c r="L462" t="s">
        <v>22</v>
      </c>
      <c r="M462" s="8">
        <v>45393</v>
      </c>
      <c r="N462" t="str">
        <f>_xlfn.XLOOKUP(B462,Customer_Master!A:A,Customer_Master!C:C,"Not Found")</f>
        <v>Pune</v>
      </c>
      <c r="O462" t="str">
        <f>_xlfn.XLOOKUP(B462,Customer_Master!A:A,Customer_Master!D:D,"Not Found")</f>
        <v>Salaried</v>
      </c>
      <c r="P462" t="str">
        <f>_xlfn.XLOOKUP(B462,Customer_Master!A:A,Customer_Master!E:E,"Not Found")</f>
        <v>High</v>
      </c>
      <c r="Q462" t="str" cm="1">
        <f t="array" ref="Q462">_xlfn.IFS(H462&lt;600,"High Risk",H462&lt;=750,"Medium Risk",TRUE,"Low Risk")</f>
        <v>High Risk</v>
      </c>
    </row>
    <row r="463" spans="1:17" x14ac:dyDescent="0.3">
      <c r="A463" t="s">
        <v>673</v>
      </c>
      <c r="B463" t="s">
        <v>405</v>
      </c>
      <c r="C463">
        <v>46</v>
      </c>
      <c r="D463">
        <v>95639</v>
      </c>
      <c r="E463">
        <v>1149044</v>
      </c>
      <c r="F463">
        <v>11.89</v>
      </c>
      <c r="G463">
        <v>48</v>
      </c>
      <c r="H463">
        <v>843</v>
      </c>
      <c r="I463" t="s">
        <v>15</v>
      </c>
      <c r="J463" t="s">
        <v>21</v>
      </c>
      <c r="K463">
        <v>30197</v>
      </c>
      <c r="L463" t="s">
        <v>22</v>
      </c>
      <c r="M463" s="8">
        <v>45039</v>
      </c>
      <c r="N463" t="str">
        <f>_xlfn.XLOOKUP(B463,Customer_Master!A:A,Customer_Master!C:C,"Not Found")</f>
        <v>Delhi</v>
      </c>
      <c r="O463" t="str">
        <f>_xlfn.XLOOKUP(B463,Customer_Master!A:A,Customer_Master!D:D,"Not Found")</f>
        <v>Self-Employed</v>
      </c>
      <c r="P463" t="str">
        <f>_xlfn.XLOOKUP(B463,Customer_Master!A:A,Customer_Master!E:E,"Not Found")</f>
        <v>Low</v>
      </c>
      <c r="Q463" t="str" cm="1">
        <f t="array" ref="Q463">_xlfn.IFS(H463&lt;600,"High Risk",H463&lt;=750,"Medium Risk",TRUE,"Low Risk")</f>
        <v>Low Risk</v>
      </c>
    </row>
    <row r="464" spans="1:17" x14ac:dyDescent="0.3">
      <c r="A464" t="s">
        <v>674</v>
      </c>
      <c r="B464" t="s">
        <v>119</v>
      </c>
      <c r="C464">
        <v>46</v>
      </c>
      <c r="D464">
        <v>146938</v>
      </c>
      <c r="E464">
        <v>450093</v>
      </c>
      <c r="F464">
        <v>13.24</v>
      </c>
      <c r="G464">
        <v>240</v>
      </c>
      <c r="H464">
        <v>486</v>
      </c>
      <c r="I464" t="s">
        <v>15</v>
      </c>
      <c r="J464" t="s">
        <v>16</v>
      </c>
      <c r="K464">
        <v>5350</v>
      </c>
      <c r="L464" t="s">
        <v>22</v>
      </c>
      <c r="M464" s="8">
        <v>45355</v>
      </c>
      <c r="N464" t="str">
        <f>_xlfn.XLOOKUP(B464,Customer_Master!A:A,Customer_Master!C:C,"Not Found")</f>
        <v>Bangalore</v>
      </c>
      <c r="O464" t="str">
        <f>_xlfn.XLOOKUP(B464,Customer_Master!A:A,Customer_Master!D:D,"Not Found")</f>
        <v>Self-Employed</v>
      </c>
      <c r="P464" t="str">
        <f>_xlfn.XLOOKUP(B464,Customer_Master!A:A,Customer_Master!E:E,"Not Found")</f>
        <v>Medium</v>
      </c>
      <c r="Q464" t="str" cm="1">
        <f t="array" ref="Q464">_xlfn.IFS(H464&lt;600,"High Risk",H464&lt;=750,"Medium Risk",TRUE,"Low Risk")</f>
        <v>High Risk</v>
      </c>
    </row>
    <row r="465" spans="1:17" x14ac:dyDescent="0.3">
      <c r="A465" t="s">
        <v>675</v>
      </c>
      <c r="B465" t="s">
        <v>150</v>
      </c>
      <c r="C465">
        <v>48</v>
      </c>
      <c r="D465">
        <v>191195</v>
      </c>
      <c r="E465">
        <v>916858</v>
      </c>
      <c r="F465">
        <v>8.31</v>
      </c>
      <c r="G465">
        <v>24</v>
      </c>
      <c r="H465">
        <v>576</v>
      </c>
      <c r="I465" t="s">
        <v>27</v>
      </c>
      <c r="J465" t="s">
        <v>16</v>
      </c>
      <c r="K465">
        <v>41597</v>
      </c>
      <c r="L465" t="s">
        <v>22</v>
      </c>
      <c r="M465" s="8">
        <v>44756</v>
      </c>
      <c r="N465" t="str">
        <f>_xlfn.XLOOKUP(B465,Customer_Master!A:A,Customer_Master!C:C,"Not Found")</f>
        <v>Bangalore</v>
      </c>
      <c r="O465" t="str">
        <f>_xlfn.XLOOKUP(B465,Customer_Master!A:A,Customer_Master!D:D,"Not Found")</f>
        <v>Self-Employed</v>
      </c>
      <c r="P465" t="str">
        <f>_xlfn.XLOOKUP(B465,Customer_Master!A:A,Customer_Master!E:E,"Not Found")</f>
        <v>High</v>
      </c>
      <c r="Q465" t="str" cm="1">
        <f t="array" ref="Q465">_xlfn.IFS(H465&lt;600,"High Risk",H465&lt;=750,"Medium Risk",TRUE,"Low Risk")</f>
        <v>High Risk</v>
      </c>
    </row>
    <row r="466" spans="1:17" x14ac:dyDescent="0.3">
      <c r="A466" t="s">
        <v>676</v>
      </c>
      <c r="B466" t="s">
        <v>144</v>
      </c>
      <c r="C466">
        <v>29</v>
      </c>
      <c r="D466">
        <v>164658</v>
      </c>
      <c r="E466">
        <v>1367225</v>
      </c>
      <c r="F466">
        <v>8.49</v>
      </c>
      <c r="G466">
        <v>36</v>
      </c>
      <c r="H466">
        <v>529</v>
      </c>
      <c r="I466" t="s">
        <v>15</v>
      </c>
      <c r="J466" t="s">
        <v>28</v>
      </c>
      <c r="K466">
        <v>43154</v>
      </c>
      <c r="L466" t="s">
        <v>22</v>
      </c>
      <c r="M466" s="8">
        <v>44664</v>
      </c>
      <c r="N466" t="str">
        <f>_xlfn.XLOOKUP(B466,Customer_Master!A:A,Customer_Master!C:C,"Not Found")</f>
        <v>Chennai</v>
      </c>
      <c r="O466" t="str">
        <f>_xlfn.XLOOKUP(B466,Customer_Master!A:A,Customer_Master!D:D,"Not Found")</f>
        <v>Salaried</v>
      </c>
      <c r="P466" t="str">
        <f>_xlfn.XLOOKUP(B466,Customer_Master!A:A,Customer_Master!E:E,"Not Found")</f>
        <v>Low</v>
      </c>
      <c r="Q466" t="str" cm="1">
        <f t="array" ref="Q466">_xlfn.IFS(H466&lt;600,"High Risk",H466&lt;=750,"Medium Risk",TRUE,"Low Risk")</f>
        <v>High Risk</v>
      </c>
    </row>
    <row r="467" spans="1:17" x14ac:dyDescent="0.3">
      <c r="A467" t="s">
        <v>677</v>
      </c>
      <c r="B467" t="s">
        <v>661</v>
      </c>
      <c r="C467">
        <v>48</v>
      </c>
      <c r="D467">
        <v>36986</v>
      </c>
      <c r="E467">
        <v>1711944</v>
      </c>
      <c r="F467">
        <v>15.26</v>
      </c>
      <c r="G467">
        <v>240</v>
      </c>
      <c r="H467">
        <v>807</v>
      </c>
      <c r="I467" t="s">
        <v>31</v>
      </c>
      <c r="J467" t="s">
        <v>28</v>
      </c>
      <c r="K467">
        <v>22872</v>
      </c>
      <c r="L467" t="s">
        <v>22</v>
      </c>
      <c r="M467" s="8">
        <v>45265</v>
      </c>
      <c r="N467" t="str">
        <f>_xlfn.XLOOKUP(B467,Customer_Master!A:A,Customer_Master!C:C,"Not Found")</f>
        <v>Pune</v>
      </c>
      <c r="O467" t="str">
        <f>_xlfn.XLOOKUP(B467,Customer_Master!A:A,Customer_Master!D:D,"Not Found")</f>
        <v>Business Owner</v>
      </c>
      <c r="P467" t="str">
        <f>_xlfn.XLOOKUP(B467,Customer_Master!A:A,Customer_Master!E:E,"Not Found")</f>
        <v>Medium</v>
      </c>
      <c r="Q467" t="str" cm="1">
        <f t="array" ref="Q467">_xlfn.IFS(H467&lt;600,"High Risk",H467&lt;=750,"Medium Risk",TRUE,"Low Risk")</f>
        <v>Low Risk</v>
      </c>
    </row>
    <row r="468" spans="1:17" x14ac:dyDescent="0.3">
      <c r="A468" t="s">
        <v>678</v>
      </c>
      <c r="B468" t="s">
        <v>422</v>
      </c>
      <c r="C468">
        <v>49</v>
      </c>
      <c r="D468">
        <v>195641</v>
      </c>
      <c r="E468">
        <v>716186</v>
      </c>
      <c r="F468">
        <v>8.5500000000000007</v>
      </c>
      <c r="G468">
        <v>60</v>
      </c>
      <c r="H468">
        <v>731</v>
      </c>
      <c r="I468" t="s">
        <v>27</v>
      </c>
      <c r="J468" t="s">
        <v>21</v>
      </c>
      <c r="K468">
        <v>14711</v>
      </c>
      <c r="L468" t="s">
        <v>22</v>
      </c>
      <c r="M468" s="8">
        <v>45542</v>
      </c>
      <c r="N468" t="str">
        <f>_xlfn.XLOOKUP(B468,Customer_Master!A:A,Customer_Master!C:C,"Not Found")</f>
        <v>Delhi</v>
      </c>
      <c r="O468" t="str">
        <f>_xlfn.XLOOKUP(B468,Customer_Master!A:A,Customer_Master!D:D,"Not Found")</f>
        <v>Salaried</v>
      </c>
      <c r="P468" t="str">
        <f>_xlfn.XLOOKUP(B468,Customer_Master!A:A,Customer_Master!E:E,"Not Found")</f>
        <v>High</v>
      </c>
      <c r="Q468" t="str" cm="1">
        <f t="array" ref="Q468">_xlfn.IFS(H468&lt;600,"High Risk",H468&lt;=750,"Medium Risk",TRUE,"Low Risk")</f>
        <v>Medium Risk</v>
      </c>
    </row>
    <row r="469" spans="1:17" x14ac:dyDescent="0.3">
      <c r="A469" t="s">
        <v>679</v>
      </c>
      <c r="B469" t="s">
        <v>558</v>
      </c>
      <c r="C469">
        <v>31</v>
      </c>
      <c r="D469">
        <v>196488</v>
      </c>
      <c r="E469">
        <v>104923</v>
      </c>
      <c r="F469">
        <v>12.35</v>
      </c>
      <c r="G469">
        <v>48</v>
      </c>
      <c r="H469">
        <v>798</v>
      </c>
      <c r="I469" t="s">
        <v>31</v>
      </c>
      <c r="J469" t="s">
        <v>21</v>
      </c>
      <c r="K469">
        <v>2781</v>
      </c>
      <c r="L469" t="s">
        <v>22</v>
      </c>
      <c r="M469" s="8">
        <v>45200</v>
      </c>
      <c r="N469" t="str">
        <f>_xlfn.XLOOKUP(B469,Customer_Master!A:A,Customer_Master!C:C,"Not Found")</f>
        <v>Delhi</v>
      </c>
      <c r="O469" t="str">
        <f>_xlfn.XLOOKUP(B469,Customer_Master!A:A,Customer_Master!D:D,"Not Found")</f>
        <v>Business Owner</v>
      </c>
      <c r="P469" t="str">
        <f>_xlfn.XLOOKUP(B469,Customer_Master!A:A,Customer_Master!E:E,"Not Found")</f>
        <v>Low</v>
      </c>
      <c r="Q469" t="str" cm="1">
        <f t="array" ref="Q469">_xlfn.IFS(H469&lt;600,"High Risk",H469&lt;=750,"Medium Risk",TRUE,"Low Risk")</f>
        <v>Low Risk</v>
      </c>
    </row>
    <row r="470" spans="1:17" x14ac:dyDescent="0.3">
      <c r="A470" t="s">
        <v>680</v>
      </c>
      <c r="B470" t="s">
        <v>229</v>
      </c>
      <c r="C470">
        <v>59</v>
      </c>
      <c r="D470">
        <v>64211</v>
      </c>
      <c r="E470">
        <v>1443459</v>
      </c>
      <c r="F470">
        <v>8.9600000000000009</v>
      </c>
      <c r="G470">
        <v>240</v>
      </c>
      <c r="H470">
        <v>753</v>
      </c>
      <c r="I470" t="s">
        <v>27</v>
      </c>
      <c r="J470" t="s">
        <v>39</v>
      </c>
      <c r="K470">
        <v>12950</v>
      </c>
      <c r="L470" t="s">
        <v>22</v>
      </c>
      <c r="M470" s="8">
        <v>45317</v>
      </c>
      <c r="N470" t="str">
        <f>_xlfn.XLOOKUP(B470,Customer_Master!A:A,Customer_Master!C:C,"Not Found")</f>
        <v>Bangalore</v>
      </c>
      <c r="O470" t="str">
        <f>_xlfn.XLOOKUP(B470,Customer_Master!A:A,Customer_Master!D:D,"Not Found")</f>
        <v>Salaried</v>
      </c>
      <c r="P470" t="str">
        <f>_xlfn.XLOOKUP(B470,Customer_Master!A:A,Customer_Master!E:E,"Not Found")</f>
        <v>Medium</v>
      </c>
      <c r="Q470" t="str" cm="1">
        <f t="array" ref="Q470">_xlfn.IFS(H470&lt;600,"High Risk",H470&lt;=750,"Medium Risk",TRUE,"Low Risk")</f>
        <v>Low Risk</v>
      </c>
    </row>
    <row r="471" spans="1:17" x14ac:dyDescent="0.3">
      <c r="A471" t="s">
        <v>681</v>
      </c>
      <c r="B471" t="s">
        <v>256</v>
      </c>
      <c r="C471">
        <v>57</v>
      </c>
      <c r="D471">
        <v>88097</v>
      </c>
      <c r="E471">
        <v>347317</v>
      </c>
      <c r="F471">
        <v>14.68</v>
      </c>
      <c r="G471">
        <v>24</v>
      </c>
      <c r="H471">
        <v>662</v>
      </c>
      <c r="I471" t="s">
        <v>31</v>
      </c>
      <c r="J471" t="s">
        <v>16</v>
      </c>
      <c r="K471">
        <v>16787</v>
      </c>
      <c r="L471" t="s">
        <v>22</v>
      </c>
      <c r="M471" s="8">
        <v>45496</v>
      </c>
      <c r="N471" t="str">
        <f>_xlfn.XLOOKUP(B471,Customer_Master!A:A,Customer_Master!C:C,"Not Found")</f>
        <v>Chennai</v>
      </c>
      <c r="O471" t="str">
        <f>_xlfn.XLOOKUP(B471,Customer_Master!A:A,Customer_Master!D:D,"Not Found")</f>
        <v>Self-Employed</v>
      </c>
      <c r="P471" t="str">
        <f>_xlfn.XLOOKUP(B471,Customer_Master!A:A,Customer_Master!E:E,"Not Found")</f>
        <v>High</v>
      </c>
      <c r="Q471" t="str" cm="1">
        <f t="array" ref="Q471">_xlfn.IFS(H471&lt;600,"High Risk",H471&lt;=750,"Medium Risk",TRUE,"Low Risk")</f>
        <v>Medium Risk</v>
      </c>
    </row>
    <row r="472" spans="1:17" x14ac:dyDescent="0.3">
      <c r="A472" t="s">
        <v>682</v>
      </c>
      <c r="B472" t="s">
        <v>141</v>
      </c>
      <c r="C472">
        <v>36</v>
      </c>
      <c r="D472">
        <v>150843</v>
      </c>
      <c r="E472">
        <v>1445439</v>
      </c>
      <c r="F472">
        <v>7.69</v>
      </c>
      <c r="G472">
        <v>60</v>
      </c>
      <c r="H472">
        <v>575</v>
      </c>
      <c r="I472" t="s">
        <v>27</v>
      </c>
      <c r="J472" t="s">
        <v>39</v>
      </c>
      <c r="K472">
        <v>29094</v>
      </c>
      <c r="L472" t="s">
        <v>17</v>
      </c>
      <c r="M472" s="8">
        <v>45555</v>
      </c>
      <c r="N472" t="str">
        <f>_xlfn.XLOOKUP(B472,Customer_Master!A:A,Customer_Master!C:C,"Not Found")</f>
        <v>Delhi</v>
      </c>
      <c r="O472" t="str">
        <f>_xlfn.XLOOKUP(B472,Customer_Master!A:A,Customer_Master!D:D,"Not Found")</f>
        <v>Self-Employed</v>
      </c>
      <c r="P472" t="str">
        <f>_xlfn.XLOOKUP(B472,Customer_Master!A:A,Customer_Master!E:E,"Not Found")</f>
        <v>Low</v>
      </c>
      <c r="Q472" t="str" cm="1">
        <f t="array" ref="Q472">_xlfn.IFS(H472&lt;600,"High Risk",H472&lt;=750,"Medium Risk",TRUE,"Low Risk")</f>
        <v>High Risk</v>
      </c>
    </row>
    <row r="473" spans="1:17" x14ac:dyDescent="0.3">
      <c r="A473" t="s">
        <v>683</v>
      </c>
      <c r="B473" t="s">
        <v>416</v>
      </c>
      <c r="C473">
        <v>49</v>
      </c>
      <c r="D473">
        <v>189409</v>
      </c>
      <c r="E473">
        <v>523743</v>
      </c>
      <c r="F473">
        <v>13.49</v>
      </c>
      <c r="G473">
        <v>180</v>
      </c>
      <c r="H473">
        <v>520</v>
      </c>
      <c r="I473" t="s">
        <v>27</v>
      </c>
      <c r="J473" t="s">
        <v>28</v>
      </c>
      <c r="K473">
        <v>6796</v>
      </c>
      <c r="L473" t="s">
        <v>22</v>
      </c>
      <c r="M473" s="8">
        <v>45319</v>
      </c>
      <c r="N473" t="str">
        <f>_xlfn.XLOOKUP(B473,Customer_Master!A:A,Customer_Master!C:C,"Not Found")</f>
        <v>Bangalore</v>
      </c>
      <c r="O473" t="str">
        <f>_xlfn.XLOOKUP(B473,Customer_Master!A:A,Customer_Master!D:D,"Not Found")</f>
        <v>Business Owner</v>
      </c>
      <c r="P473" t="str">
        <f>_xlfn.XLOOKUP(B473,Customer_Master!A:A,Customer_Master!E:E,"Not Found")</f>
        <v>Low</v>
      </c>
      <c r="Q473" t="str" cm="1">
        <f t="array" ref="Q473">_xlfn.IFS(H473&lt;600,"High Risk",H473&lt;=750,"Medium Risk",TRUE,"Low Risk")</f>
        <v>High Risk</v>
      </c>
    </row>
    <row r="474" spans="1:17" x14ac:dyDescent="0.3">
      <c r="A474" t="s">
        <v>684</v>
      </c>
      <c r="B474" t="s">
        <v>180</v>
      </c>
      <c r="C474">
        <v>60</v>
      </c>
      <c r="D474">
        <v>122695</v>
      </c>
      <c r="E474">
        <v>1679052</v>
      </c>
      <c r="F474">
        <v>10.47</v>
      </c>
      <c r="G474">
        <v>36</v>
      </c>
      <c r="H474">
        <v>677</v>
      </c>
      <c r="I474" t="s">
        <v>20</v>
      </c>
      <c r="J474" t="s">
        <v>39</v>
      </c>
      <c r="K474">
        <v>54550</v>
      </c>
      <c r="L474" t="s">
        <v>22</v>
      </c>
      <c r="M474" s="8">
        <v>45315</v>
      </c>
      <c r="N474" t="str">
        <f>_xlfn.XLOOKUP(B474,Customer_Master!A:A,Customer_Master!C:C,"Not Found")</f>
        <v>Bangalore</v>
      </c>
      <c r="O474" t="str">
        <f>_xlfn.XLOOKUP(B474,Customer_Master!A:A,Customer_Master!D:D,"Not Found")</f>
        <v>Salaried</v>
      </c>
      <c r="P474" t="str">
        <f>_xlfn.XLOOKUP(B474,Customer_Master!A:A,Customer_Master!E:E,"Not Found")</f>
        <v>Medium</v>
      </c>
      <c r="Q474" t="str" cm="1">
        <f t="array" ref="Q474">_xlfn.IFS(H474&lt;600,"High Risk",H474&lt;=750,"Medium Risk",TRUE,"Low Risk")</f>
        <v>Medium Risk</v>
      </c>
    </row>
    <row r="475" spans="1:17" x14ac:dyDescent="0.3">
      <c r="A475" t="s">
        <v>685</v>
      </c>
      <c r="B475" t="s">
        <v>214</v>
      </c>
      <c r="C475">
        <v>47</v>
      </c>
      <c r="D475">
        <v>182422</v>
      </c>
      <c r="E475">
        <v>1462239</v>
      </c>
      <c r="F475">
        <v>13.72</v>
      </c>
      <c r="G475">
        <v>48</v>
      </c>
      <c r="H475">
        <v>504</v>
      </c>
      <c r="I475" t="s">
        <v>27</v>
      </c>
      <c r="J475" t="s">
        <v>16</v>
      </c>
      <c r="K475">
        <v>39753</v>
      </c>
      <c r="L475" t="s">
        <v>34</v>
      </c>
      <c r="M475" s="8">
        <v>45303</v>
      </c>
      <c r="N475" t="str">
        <f>_xlfn.XLOOKUP(B475,Customer_Master!A:A,Customer_Master!C:C,"Not Found")</f>
        <v>Pune</v>
      </c>
      <c r="O475" t="str">
        <f>_xlfn.XLOOKUP(B475,Customer_Master!A:A,Customer_Master!D:D,"Not Found")</f>
        <v>Business Owner</v>
      </c>
      <c r="P475" t="str">
        <f>_xlfn.XLOOKUP(B475,Customer_Master!A:A,Customer_Master!E:E,"Not Found")</f>
        <v>Low</v>
      </c>
      <c r="Q475" t="str" cm="1">
        <f t="array" ref="Q475">_xlfn.IFS(H475&lt;600,"High Risk",H475&lt;=750,"Medium Risk",TRUE,"Low Risk")</f>
        <v>High Risk</v>
      </c>
    </row>
    <row r="476" spans="1:17" x14ac:dyDescent="0.3">
      <c r="A476" t="s">
        <v>686</v>
      </c>
      <c r="B476" t="s">
        <v>131</v>
      </c>
      <c r="C476">
        <v>24</v>
      </c>
      <c r="D476">
        <v>185258</v>
      </c>
      <c r="E476">
        <v>260027</v>
      </c>
      <c r="F476">
        <v>8.91</v>
      </c>
      <c r="G476">
        <v>36</v>
      </c>
      <c r="H476">
        <v>785</v>
      </c>
      <c r="I476" t="s">
        <v>15</v>
      </c>
      <c r="J476" t="s">
        <v>39</v>
      </c>
      <c r="K476">
        <v>8258</v>
      </c>
      <c r="L476" t="s">
        <v>22</v>
      </c>
      <c r="M476" s="8">
        <v>45534</v>
      </c>
      <c r="N476" t="str">
        <f>_xlfn.XLOOKUP(B476,Customer_Master!A:A,Customer_Master!C:C,"Not Found")</f>
        <v>Pune</v>
      </c>
      <c r="O476" t="str">
        <f>_xlfn.XLOOKUP(B476,Customer_Master!A:A,Customer_Master!D:D,"Not Found")</f>
        <v>Self-Employed</v>
      </c>
      <c r="P476" t="str">
        <f>_xlfn.XLOOKUP(B476,Customer_Master!A:A,Customer_Master!E:E,"Not Found")</f>
        <v>Medium</v>
      </c>
      <c r="Q476" t="str" cm="1">
        <f t="array" ref="Q476">_xlfn.IFS(H476&lt;600,"High Risk",H476&lt;=750,"Medium Risk",TRUE,"Low Risk")</f>
        <v>Low Risk</v>
      </c>
    </row>
    <row r="477" spans="1:17" x14ac:dyDescent="0.3">
      <c r="A477" t="s">
        <v>687</v>
      </c>
      <c r="B477" t="s">
        <v>424</v>
      </c>
      <c r="C477">
        <v>56</v>
      </c>
      <c r="D477">
        <v>126932</v>
      </c>
      <c r="E477">
        <v>927343</v>
      </c>
      <c r="F477">
        <v>10.48</v>
      </c>
      <c r="G477">
        <v>24</v>
      </c>
      <c r="H477">
        <v>656</v>
      </c>
      <c r="I477" t="s">
        <v>20</v>
      </c>
      <c r="J477" t="s">
        <v>28</v>
      </c>
      <c r="K477">
        <v>42998</v>
      </c>
      <c r="L477" t="s">
        <v>17</v>
      </c>
      <c r="M477" s="8">
        <v>45293</v>
      </c>
      <c r="N477" t="str">
        <f>_xlfn.XLOOKUP(B477,Customer_Master!A:A,Customer_Master!C:C,"Not Found")</f>
        <v>Pune</v>
      </c>
      <c r="O477" t="str">
        <f>_xlfn.XLOOKUP(B477,Customer_Master!A:A,Customer_Master!D:D,"Not Found")</f>
        <v>Salaried</v>
      </c>
      <c r="P477" t="str">
        <f>_xlfn.XLOOKUP(B477,Customer_Master!A:A,Customer_Master!E:E,"Not Found")</f>
        <v>High</v>
      </c>
      <c r="Q477" t="str" cm="1">
        <f t="array" ref="Q477">_xlfn.IFS(H477&lt;600,"High Risk",H477&lt;=750,"Medium Risk",TRUE,"Low Risk")</f>
        <v>Medium Risk</v>
      </c>
    </row>
    <row r="478" spans="1:17" x14ac:dyDescent="0.3">
      <c r="A478" t="s">
        <v>688</v>
      </c>
      <c r="B478" t="s">
        <v>315</v>
      </c>
      <c r="C478">
        <v>29</v>
      </c>
      <c r="D478">
        <v>106789</v>
      </c>
      <c r="E478">
        <v>1174900</v>
      </c>
      <c r="F478">
        <v>10.71</v>
      </c>
      <c r="G478">
        <v>36</v>
      </c>
      <c r="H478">
        <v>688</v>
      </c>
      <c r="I478" t="s">
        <v>27</v>
      </c>
      <c r="J478" t="s">
        <v>21</v>
      </c>
      <c r="K478">
        <v>38304</v>
      </c>
      <c r="L478" t="s">
        <v>22</v>
      </c>
      <c r="M478" s="8">
        <v>44968</v>
      </c>
      <c r="N478" t="str">
        <f>_xlfn.XLOOKUP(B478,Customer_Master!A:A,Customer_Master!C:C,"Not Found")</f>
        <v>Delhi</v>
      </c>
      <c r="O478" t="str">
        <f>_xlfn.XLOOKUP(B478,Customer_Master!A:A,Customer_Master!D:D,"Not Found")</f>
        <v>Salaried</v>
      </c>
      <c r="P478" t="str">
        <f>_xlfn.XLOOKUP(B478,Customer_Master!A:A,Customer_Master!E:E,"Not Found")</f>
        <v>High</v>
      </c>
      <c r="Q478" t="str" cm="1">
        <f t="array" ref="Q478">_xlfn.IFS(H478&lt;600,"High Risk",H478&lt;=750,"Medium Risk",TRUE,"Low Risk")</f>
        <v>Medium Risk</v>
      </c>
    </row>
    <row r="479" spans="1:17" x14ac:dyDescent="0.3">
      <c r="A479" t="s">
        <v>689</v>
      </c>
      <c r="B479" t="s">
        <v>88</v>
      </c>
      <c r="C479">
        <v>44</v>
      </c>
      <c r="D479">
        <v>163414</v>
      </c>
      <c r="E479">
        <v>1791103</v>
      </c>
      <c r="F479">
        <v>11.63</v>
      </c>
      <c r="G479">
        <v>48</v>
      </c>
      <c r="H479">
        <v>515</v>
      </c>
      <c r="I479" t="s">
        <v>20</v>
      </c>
      <c r="J479" t="s">
        <v>39</v>
      </c>
      <c r="K479">
        <v>46842</v>
      </c>
      <c r="L479" t="s">
        <v>34</v>
      </c>
      <c r="M479" s="8">
        <v>45101</v>
      </c>
      <c r="N479" t="str">
        <f>_xlfn.XLOOKUP(B479,Customer_Master!A:A,Customer_Master!C:C,"Not Found")</f>
        <v>Mumbai</v>
      </c>
      <c r="O479" t="str">
        <f>_xlfn.XLOOKUP(B479,Customer_Master!A:A,Customer_Master!D:D,"Not Found")</f>
        <v>Salaried</v>
      </c>
      <c r="P479" t="str">
        <f>_xlfn.XLOOKUP(B479,Customer_Master!A:A,Customer_Master!E:E,"Not Found")</f>
        <v>Low</v>
      </c>
      <c r="Q479" t="str" cm="1">
        <f t="array" ref="Q479">_xlfn.IFS(H479&lt;600,"High Risk",H479&lt;=750,"Medium Risk",TRUE,"Low Risk")</f>
        <v>High Risk</v>
      </c>
    </row>
    <row r="480" spans="1:17" x14ac:dyDescent="0.3">
      <c r="A480" t="s">
        <v>690</v>
      </c>
      <c r="B480" t="s">
        <v>577</v>
      </c>
      <c r="C480">
        <v>52</v>
      </c>
      <c r="D480">
        <v>82904</v>
      </c>
      <c r="E480">
        <v>686787</v>
      </c>
      <c r="F480">
        <v>15.2</v>
      </c>
      <c r="G480">
        <v>48</v>
      </c>
      <c r="H480">
        <v>769</v>
      </c>
      <c r="I480" t="s">
        <v>31</v>
      </c>
      <c r="J480" t="s">
        <v>39</v>
      </c>
      <c r="K480">
        <v>19183</v>
      </c>
      <c r="L480" t="s">
        <v>22</v>
      </c>
      <c r="M480" s="8">
        <v>44723</v>
      </c>
      <c r="N480" t="str">
        <f>_xlfn.XLOOKUP(B480,Customer_Master!A:A,Customer_Master!C:C,"Not Found")</f>
        <v>Mumbai</v>
      </c>
      <c r="O480" t="str">
        <f>_xlfn.XLOOKUP(B480,Customer_Master!A:A,Customer_Master!D:D,"Not Found")</f>
        <v>Business Owner</v>
      </c>
      <c r="P480" t="str">
        <f>_xlfn.XLOOKUP(B480,Customer_Master!A:A,Customer_Master!E:E,"Not Found")</f>
        <v>High</v>
      </c>
      <c r="Q480" t="str" cm="1">
        <f t="array" ref="Q480">_xlfn.IFS(H480&lt;600,"High Risk",H480&lt;=750,"Medium Risk",TRUE,"Low Risk")</f>
        <v>Low Risk</v>
      </c>
    </row>
    <row r="481" spans="1:17" x14ac:dyDescent="0.3">
      <c r="A481" t="s">
        <v>691</v>
      </c>
      <c r="B481" t="s">
        <v>161</v>
      </c>
      <c r="C481">
        <v>48</v>
      </c>
      <c r="D481">
        <v>168845</v>
      </c>
      <c r="E481">
        <v>278875</v>
      </c>
      <c r="F481">
        <v>8.5299999999999994</v>
      </c>
      <c r="G481">
        <v>12</v>
      </c>
      <c r="H481">
        <v>682</v>
      </c>
      <c r="I481" t="s">
        <v>20</v>
      </c>
      <c r="J481" t="s">
        <v>16</v>
      </c>
      <c r="K481">
        <v>24327</v>
      </c>
      <c r="L481" t="s">
        <v>22</v>
      </c>
      <c r="M481" s="8">
        <v>44717</v>
      </c>
      <c r="N481" t="str">
        <f>_xlfn.XLOOKUP(B481,Customer_Master!A:A,Customer_Master!C:C,"Not Found")</f>
        <v>Chennai</v>
      </c>
      <c r="O481" t="str">
        <f>_xlfn.XLOOKUP(B481,Customer_Master!A:A,Customer_Master!D:D,"Not Found")</f>
        <v>Business Owner</v>
      </c>
      <c r="P481" t="str">
        <f>_xlfn.XLOOKUP(B481,Customer_Master!A:A,Customer_Master!E:E,"Not Found")</f>
        <v>Low</v>
      </c>
      <c r="Q481" t="str" cm="1">
        <f t="array" ref="Q481">_xlfn.IFS(H481&lt;600,"High Risk",H481&lt;=750,"Medium Risk",TRUE,"Low Risk")</f>
        <v>Medium Risk</v>
      </c>
    </row>
    <row r="482" spans="1:17" x14ac:dyDescent="0.3">
      <c r="A482" t="s">
        <v>692</v>
      </c>
      <c r="B482" t="s">
        <v>125</v>
      </c>
      <c r="C482">
        <v>28</v>
      </c>
      <c r="D482">
        <v>110969</v>
      </c>
      <c r="E482">
        <v>1077451</v>
      </c>
      <c r="F482">
        <v>14.97</v>
      </c>
      <c r="G482">
        <v>48</v>
      </c>
      <c r="H482">
        <v>690</v>
      </c>
      <c r="I482" t="s">
        <v>31</v>
      </c>
      <c r="J482" t="s">
        <v>39</v>
      </c>
      <c r="K482">
        <v>29970</v>
      </c>
      <c r="L482" t="s">
        <v>17</v>
      </c>
      <c r="M482" s="8">
        <v>44901</v>
      </c>
      <c r="N482" t="str">
        <f>_xlfn.XLOOKUP(B482,Customer_Master!A:A,Customer_Master!C:C,"Not Found")</f>
        <v>Delhi</v>
      </c>
      <c r="O482" t="str">
        <f>_xlfn.XLOOKUP(B482,Customer_Master!A:A,Customer_Master!D:D,"Not Found")</f>
        <v>Salaried</v>
      </c>
      <c r="P482" t="str">
        <f>_xlfn.XLOOKUP(B482,Customer_Master!A:A,Customer_Master!E:E,"Not Found")</f>
        <v>Low</v>
      </c>
      <c r="Q482" t="str" cm="1">
        <f t="array" ref="Q482">_xlfn.IFS(H482&lt;600,"High Risk",H482&lt;=750,"Medium Risk",TRUE,"Low Risk")</f>
        <v>Medium Risk</v>
      </c>
    </row>
    <row r="483" spans="1:17" x14ac:dyDescent="0.3">
      <c r="A483" t="s">
        <v>693</v>
      </c>
      <c r="B483" t="s">
        <v>30</v>
      </c>
      <c r="C483">
        <v>56</v>
      </c>
      <c r="D483">
        <v>83064</v>
      </c>
      <c r="E483">
        <v>665083</v>
      </c>
      <c r="F483">
        <v>13.95</v>
      </c>
      <c r="G483">
        <v>180</v>
      </c>
      <c r="H483">
        <v>526</v>
      </c>
      <c r="I483" t="s">
        <v>31</v>
      </c>
      <c r="J483" t="s">
        <v>28</v>
      </c>
      <c r="K483">
        <v>8835</v>
      </c>
      <c r="L483" t="s">
        <v>22</v>
      </c>
      <c r="M483" s="8">
        <v>45441</v>
      </c>
      <c r="N483" t="str">
        <f>_xlfn.XLOOKUP(B483,Customer_Master!A:A,Customer_Master!C:C,"Not Found")</f>
        <v>Delhi</v>
      </c>
      <c r="O483" t="str">
        <f>_xlfn.XLOOKUP(B483,Customer_Master!A:A,Customer_Master!D:D,"Not Found")</f>
        <v>Business Owner</v>
      </c>
      <c r="P483" t="str">
        <f>_xlfn.XLOOKUP(B483,Customer_Master!A:A,Customer_Master!E:E,"Not Found")</f>
        <v>High</v>
      </c>
      <c r="Q483" t="str" cm="1">
        <f t="array" ref="Q483">_xlfn.IFS(H483&lt;600,"High Risk",H483&lt;=750,"Medium Risk",TRUE,"Low Risk")</f>
        <v>High Risk</v>
      </c>
    </row>
    <row r="484" spans="1:17" x14ac:dyDescent="0.3">
      <c r="A484" t="s">
        <v>694</v>
      </c>
      <c r="B484" t="s">
        <v>249</v>
      </c>
      <c r="C484">
        <v>52</v>
      </c>
      <c r="D484">
        <v>26979</v>
      </c>
      <c r="E484">
        <v>1345643</v>
      </c>
      <c r="F484">
        <v>9.8800000000000008</v>
      </c>
      <c r="G484">
        <v>12</v>
      </c>
      <c r="H484">
        <v>772</v>
      </c>
      <c r="I484" t="s">
        <v>15</v>
      </c>
      <c r="J484" t="s">
        <v>16</v>
      </c>
      <c r="K484">
        <v>118228</v>
      </c>
      <c r="L484" t="s">
        <v>22</v>
      </c>
      <c r="M484" s="8">
        <v>45506</v>
      </c>
      <c r="N484" t="str">
        <f>_xlfn.XLOOKUP(B484,Customer_Master!A:A,Customer_Master!C:C,"Not Found")</f>
        <v>Mumbai</v>
      </c>
      <c r="O484" t="str">
        <f>_xlfn.XLOOKUP(B484,Customer_Master!A:A,Customer_Master!D:D,"Not Found")</f>
        <v>Business Owner</v>
      </c>
      <c r="P484" t="str">
        <f>_xlfn.XLOOKUP(B484,Customer_Master!A:A,Customer_Master!E:E,"Not Found")</f>
        <v>Medium</v>
      </c>
      <c r="Q484" t="str" cm="1">
        <f t="array" ref="Q484">_xlfn.IFS(H484&lt;600,"High Risk",H484&lt;=750,"Medium Risk",TRUE,"Low Risk")</f>
        <v>Low Risk</v>
      </c>
    </row>
    <row r="485" spans="1:17" x14ac:dyDescent="0.3">
      <c r="A485" t="s">
        <v>695</v>
      </c>
      <c r="B485" t="s">
        <v>696</v>
      </c>
      <c r="C485">
        <v>53</v>
      </c>
      <c r="D485">
        <v>165636</v>
      </c>
      <c r="E485">
        <v>1193254</v>
      </c>
      <c r="F485">
        <v>9.51</v>
      </c>
      <c r="G485">
        <v>120</v>
      </c>
      <c r="H485">
        <v>467</v>
      </c>
      <c r="I485" t="s">
        <v>27</v>
      </c>
      <c r="J485" t="s">
        <v>28</v>
      </c>
      <c r="K485">
        <v>15447</v>
      </c>
      <c r="L485" t="s">
        <v>34</v>
      </c>
      <c r="M485" s="8">
        <v>45192</v>
      </c>
      <c r="N485" t="str">
        <f>_xlfn.XLOOKUP(B485,Customer_Master!A:A,Customer_Master!C:C,"Not Found")</f>
        <v>Hyderabad</v>
      </c>
      <c r="O485" t="str">
        <f>_xlfn.XLOOKUP(B485,Customer_Master!A:A,Customer_Master!D:D,"Not Found")</f>
        <v>Salaried</v>
      </c>
      <c r="P485" t="str">
        <f>_xlfn.XLOOKUP(B485,Customer_Master!A:A,Customer_Master!E:E,"Not Found")</f>
        <v>High</v>
      </c>
      <c r="Q485" t="str" cm="1">
        <f t="array" ref="Q485">_xlfn.IFS(H485&lt;600,"High Risk",H485&lt;=750,"Medium Risk",TRUE,"Low Risk")</f>
        <v>High Risk</v>
      </c>
    </row>
    <row r="486" spans="1:17" x14ac:dyDescent="0.3">
      <c r="A486" t="s">
        <v>697</v>
      </c>
      <c r="B486" t="s">
        <v>566</v>
      </c>
      <c r="C486">
        <v>55</v>
      </c>
      <c r="D486">
        <v>81196</v>
      </c>
      <c r="E486">
        <v>1118104</v>
      </c>
      <c r="F486">
        <v>15.91</v>
      </c>
      <c r="G486">
        <v>240</v>
      </c>
      <c r="H486">
        <v>599</v>
      </c>
      <c r="I486" t="s">
        <v>27</v>
      </c>
      <c r="J486" t="s">
        <v>21</v>
      </c>
      <c r="K486">
        <v>15480</v>
      </c>
      <c r="L486" t="s">
        <v>22</v>
      </c>
      <c r="M486" s="8">
        <v>44848</v>
      </c>
      <c r="N486" t="str">
        <f>_xlfn.XLOOKUP(B486,Customer_Master!A:A,Customer_Master!C:C,"Not Found")</f>
        <v>Delhi</v>
      </c>
      <c r="O486" t="str">
        <f>_xlfn.XLOOKUP(B486,Customer_Master!A:A,Customer_Master!D:D,"Not Found")</f>
        <v>Salaried</v>
      </c>
      <c r="P486" t="str">
        <f>_xlfn.XLOOKUP(B486,Customer_Master!A:A,Customer_Master!E:E,"Not Found")</f>
        <v>Medium</v>
      </c>
      <c r="Q486" t="str" cm="1">
        <f t="array" ref="Q486">_xlfn.IFS(H486&lt;600,"High Risk",H486&lt;=750,"Medium Risk",TRUE,"Low Risk")</f>
        <v>High Risk</v>
      </c>
    </row>
    <row r="487" spans="1:17" x14ac:dyDescent="0.3">
      <c r="A487" t="s">
        <v>698</v>
      </c>
      <c r="B487" t="s">
        <v>699</v>
      </c>
      <c r="C487">
        <v>23</v>
      </c>
      <c r="D487">
        <v>82834</v>
      </c>
      <c r="E487">
        <v>213911</v>
      </c>
      <c r="F487">
        <v>8</v>
      </c>
      <c r="G487">
        <v>12</v>
      </c>
      <c r="H487">
        <v>833</v>
      </c>
      <c r="I487" t="s">
        <v>27</v>
      </c>
      <c r="J487" t="s">
        <v>28</v>
      </c>
      <c r="K487">
        <v>18608</v>
      </c>
      <c r="L487" t="s">
        <v>22</v>
      </c>
      <c r="M487" s="8">
        <v>45110</v>
      </c>
      <c r="N487" t="str">
        <f>_xlfn.XLOOKUP(B487,Customer_Master!A:A,Customer_Master!C:C,"Not Found")</f>
        <v>Chennai</v>
      </c>
      <c r="O487" t="str">
        <f>_xlfn.XLOOKUP(B487,Customer_Master!A:A,Customer_Master!D:D,"Not Found")</f>
        <v>Self-Employed</v>
      </c>
      <c r="P487" t="str">
        <f>_xlfn.XLOOKUP(B487,Customer_Master!A:A,Customer_Master!E:E,"Not Found")</f>
        <v>High</v>
      </c>
      <c r="Q487" t="str" cm="1">
        <f t="array" ref="Q487">_xlfn.IFS(H487&lt;600,"High Risk",H487&lt;=750,"Medium Risk",TRUE,"Low Risk")</f>
        <v>Low Risk</v>
      </c>
    </row>
    <row r="488" spans="1:17" x14ac:dyDescent="0.3">
      <c r="A488" t="s">
        <v>700</v>
      </c>
      <c r="B488" t="s">
        <v>14</v>
      </c>
      <c r="C488">
        <v>54</v>
      </c>
      <c r="D488">
        <v>92311</v>
      </c>
      <c r="E488">
        <v>699657</v>
      </c>
      <c r="F488">
        <v>8.6</v>
      </c>
      <c r="G488">
        <v>240</v>
      </c>
      <c r="H488">
        <v>537</v>
      </c>
      <c r="I488" t="s">
        <v>15</v>
      </c>
      <c r="J488" t="s">
        <v>39</v>
      </c>
      <c r="K488">
        <v>6116</v>
      </c>
      <c r="L488" t="s">
        <v>22</v>
      </c>
      <c r="M488" s="8">
        <v>45508</v>
      </c>
      <c r="N488" t="str">
        <f>_xlfn.XLOOKUP(B488,Customer_Master!A:A,Customer_Master!C:C,"Not Found")</f>
        <v>Hyderabad</v>
      </c>
      <c r="O488" t="str">
        <f>_xlfn.XLOOKUP(B488,Customer_Master!A:A,Customer_Master!D:D,"Not Found")</f>
        <v>Self-Employed</v>
      </c>
      <c r="P488" t="str">
        <f>_xlfn.XLOOKUP(B488,Customer_Master!A:A,Customer_Master!E:E,"Not Found")</f>
        <v>High</v>
      </c>
      <c r="Q488" t="str" cm="1">
        <f t="array" ref="Q488">_xlfn.IFS(H488&lt;600,"High Risk",H488&lt;=750,"Medium Risk",TRUE,"Low Risk")</f>
        <v>High Risk</v>
      </c>
    </row>
    <row r="489" spans="1:17" x14ac:dyDescent="0.3">
      <c r="A489" t="s">
        <v>701</v>
      </c>
      <c r="B489" t="s">
        <v>284</v>
      </c>
      <c r="C489">
        <v>48</v>
      </c>
      <c r="D489">
        <v>157329</v>
      </c>
      <c r="E489">
        <v>1147339</v>
      </c>
      <c r="F489">
        <v>14.15</v>
      </c>
      <c r="G489">
        <v>48</v>
      </c>
      <c r="H489">
        <v>556</v>
      </c>
      <c r="I489" t="s">
        <v>31</v>
      </c>
      <c r="J489" t="s">
        <v>21</v>
      </c>
      <c r="K489">
        <v>31439</v>
      </c>
      <c r="L489" t="s">
        <v>22</v>
      </c>
      <c r="M489" s="8">
        <v>45284</v>
      </c>
      <c r="N489" t="str">
        <f>_xlfn.XLOOKUP(B489,Customer_Master!A:A,Customer_Master!C:C,"Not Found")</f>
        <v>Mumbai</v>
      </c>
      <c r="O489" t="str">
        <f>_xlfn.XLOOKUP(B489,Customer_Master!A:A,Customer_Master!D:D,"Not Found")</f>
        <v>Salaried</v>
      </c>
      <c r="P489" t="str">
        <f>_xlfn.XLOOKUP(B489,Customer_Master!A:A,Customer_Master!E:E,"Not Found")</f>
        <v>Low</v>
      </c>
      <c r="Q489" t="str" cm="1">
        <f t="array" ref="Q489">_xlfn.IFS(H489&lt;600,"High Risk",H489&lt;=750,"Medium Risk",TRUE,"Low Risk")</f>
        <v>High Risk</v>
      </c>
    </row>
    <row r="490" spans="1:17" x14ac:dyDescent="0.3">
      <c r="A490" t="s">
        <v>702</v>
      </c>
      <c r="B490" t="s">
        <v>254</v>
      </c>
      <c r="C490">
        <v>46</v>
      </c>
      <c r="D490">
        <v>141540</v>
      </c>
      <c r="E490">
        <v>878630</v>
      </c>
      <c r="F490">
        <v>8.3699999999999992</v>
      </c>
      <c r="G490">
        <v>120</v>
      </c>
      <c r="H490">
        <v>462</v>
      </c>
      <c r="I490" t="s">
        <v>20</v>
      </c>
      <c r="J490" t="s">
        <v>39</v>
      </c>
      <c r="K490">
        <v>10833</v>
      </c>
      <c r="L490" t="s">
        <v>34</v>
      </c>
      <c r="M490" s="8">
        <v>45002</v>
      </c>
      <c r="N490" t="str">
        <f>_xlfn.XLOOKUP(B490,Customer_Master!A:A,Customer_Master!C:C,"Not Found")</f>
        <v>Delhi</v>
      </c>
      <c r="O490" t="str">
        <f>_xlfn.XLOOKUP(B490,Customer_Master!A:A,Customer_Master!D:D,"Not Found")</f>
        <v>Self-Employed</v>
      </c>
      <c r="P490" t="str">
        <f>_xlfn.XLOOKUP(B490,Customer_Master!A:A,Customer_Master!E:E,"Not Found")</f>
        <v>Low</v>
      </c>
      <c r="Q490" t="str" cm="1">
        <f t="array" ref="Q490">_xlfn.IFS(H490&lt;600,"High Risk",H490&lt;=750,"Medium Risk",TRUE,"Low Risk")</f>
        <v>High Risk</v>
      </c>
    </row>
    <row r="491" spans="1:17" x14ac:dyDescent="0.3">
      <c r="A491" t="s">
        <v>703</v>
      </c>
      <c r="B491" t="s">
        <v>320</v>
      </c>
      <c r="C491">
        <v>45</v>
      </c>
      <c r="D491">
        <v>76720</v>
      </c>
      <c r="E491">
        <v>843619</v>
      </c>
      <c r="F491">
        <v>12.87</v>
      </c>
      <c r="G491">
        <v>48</v>
      </c>
      <c r="H491">
        <v>450</v>
      </c>
      <c r="I491" t="s">
        <v>27</v>
      </c>
      <c r="J491" t="s">
        <v>39</v>
      </c>
      <c r="K491">
        <v>22578</v>
      </c>
      <c r="L491" t="s">
        <v>22</v>
      </c>
      <c r="M491" s="8">
        <v>44583</v>
      </c>
      <c r="N491" t="str">
        <f>_xlfn.XLOOKUP(B491,Customer_Master!A:A,Customer_Master!C:C,"Not Found")</f>
        <v>Delhi</v>
      </c>
      <c r="O491" t="str">
        <f>_xlfn.XLOOKUP(B491,Customer_Master!A:A,Customer_Master!D:D,"Not Found")</f>
        <v>Self-Employed</v>
      </c>
      <c r="P491" t="str">
        <f>_xlfn.XLOOKUP(B491,Customer_Master!A:A,Customer_Master!E:E,"Not Found")</f>
        <v>High</v>
      </c>
      <c r="Q491" t="str" cm="1">
        <f t="array" ref="Q491">_xlfn.IFS(H491&lt;600,"High Risk",H491&lt;=750,"Medium Risk",TRUE,"Low Risk")</f>
        <v>High Risk</v>
      </c>
    </row>
    <row r="492" spans="1:17" x14ac:dyDescent="0.3">
      <c r="A492" t="s">
        <v>704</v>
      </c>
      <c r="B492" t="s">
        <v>180</v>
      </c>
      <c r="C492">
        <v>48</v>
      </c>
      <c r="D492">
        <v>190592</v>
      </c>
      <c r="E492">
        <v>976503</v>
      </c>
      <c r="F492">
        <v>8.1999999999999993</v>
      </c>
      <c r="G492">
        <v>48</v>
      </c>
      <c r="H492">
        <v>785</v>
      </c>
      <c r="I492" t="s">
        <v>31</v>
      </c>
      <c r="J492" t="s">
        <v>16</v>
      </c>
      <c r="K492">
        <v>23931</v>
      </c>
      <c r="L492" t="s">
        <v>22</v>
      </c>
      <c r="M492" s="8">
        <v>44630</v>
      </c>
      <c r="N492" t="str">
        <f>_xlfn.XLOOKUP(B492,Customer_Master!A:A,Customer_Master!C:C,"Not Found")</f>
        <v>Bangalore</v>
      </c>
      <c r="O492" t="str">
        <f>_xlfn.XLOOKUP(B492,Customer_Master!A:A,Customer_Master!D:D,"Not Found")</f>
        <v>Salaried</v>
      </c>
      <c r="P492" t="str">
        <f>_xlfn.XLOOKUP(B492,Customer_Master!A:A,Customer_Master!E:E,"Not Found")</f>
        <v>Medium</v>
      </c>
      <c r="Q492" t="str" cm="1">
        <f t="array" ref="Q492">_xlfn.IFS(H492&lt;600,"High Risk",H492&lt;=750,"Medium Risk",TRUE,"Low Risk")</f>
        <v>Low Risk</v>
      </c>
    </row>
    <row r="493" spans="1:17" x14ac:dyDescent="0.3">
      <c r="A493" t="s">
        <v>705</v>
      </c>
      <c r="B493" t="s">
        <v>403</v>
      </c>
      <c r="C493">
        <v>60</v>
      </c>
      <c r="D493">
        <v>180946</v>
      </c>
      <c r="E493">
        <v>1702003</v>
      </c>
      <c r="F493">
        <v>14.92</v>
      </c>
      <c r="G493">
        <v>240</v>
      </c>
      <c r="H493">
        <v>794</v>
      </c>
      <c r="I493" t="s">
        <v>15</v>
      </c>
      <c r="J493" t="s">
        <v>21</v>
      </c>
      <c r="K493">
        <v>22311</v>
      </c>
      <c r="L493" t="s">
        <v>22</v>
      </c>
      <c r="M493" s="8">
        <v>44788</v>
      </c>
      <c r="N493" t="str">
        <f>_xlfn.XLOOKUP(B493,Customer_Master!A:A,Customer_Master!C:C,"Not Found")</f>
        <v>Pune</v>
      </c>
      <c r="O493" t="str">
        <f>_xlfn.XLOOKUP(B493,Customer_Master!A:A,Customer_Master!D:D,"Not Found")</f>
        <v>Business Owner</v>
      </c>
      <c r="P493" t="str">
        <f>_xlfn.XLOOKUP(B493,Customer_Master!A:A,Customer_Master!E:E,"Not Found")</f>
        <v>High</v>
      </c>
      <c r="Q493" t="str" cm="1">
        <f t="array" ref="Q493">_xlfn.IFS(H493&lt;600,"High Risk",H493&lt;=750,"Medium Risk",TRUE,"Low Risk")</f>
        <v>Low Risk</v>
      </c>
    </row>
    <row r="494" spans="1:17" x14ac:dyDescent="0.3">
      <c r="A494" t="s">
        <v>706</v>
      </c>
      <c r="B494" t="s">
        <v>198</v>
      </c>
      <c r="C494">
        <v>33</v>
      </c>
      <c r="D494">
        <v>26819</v>
      </c>
      <c r="E494">
        <v>369219</v>
      </c>
      <c r="F494">
        <v>9.34</v>
      </c>
      <c r="G494">
        <v>240</v>
      </c>
      <c r="H494">
        <v>782</v>
      </c>
      <c r="I494" t="s">
        <v>31</v>
      </c>
      <c r="J494" t="s">
        <v>28</v>
      </c>
      <c r="K494">
        <v>3403</v>
      </c>
      <c r="L494" t="s">
        <v>17</v>
      </c>
      <c r="M494" s="8">
        <v>44849</v>
      </c>
      <c r="N494" t="str">
        <f>_xlfn.XLOOKUP(B494,Customer_Master!A:A,Customer_Master!C:C,"Not Found")</f>
        <v>Delhi</v>
      </c>
      <c r="O494" t="str">
        <f>_xlfn.XLOOKUP(B494,Customer_Master!A:A,Customer_Master!D:D,"Not Found")</f>
        <v>Business Owner</v>
      </c>
      <c r="P494" t="str">
        <f>_xlfn.XLOOKUP(B494,Customer_Master!A:A,Customer_Master!E:E,"Not Found")</f>
        <v>High</v>
      </c>
      <c r="Q494" t="str" cm="1">
        <f t="array" ref="Q494">_xlfn.IFS(H494&lt;600,"High Risk",H494&lt;=750,"Medium Risk",TRUE,"Low Risk")</f>
        <v>Low Risk</v>
      </c>
    </row>
    <row r="495" spans="1:17" x14ac:dyDescent="0.3">
      <c r="A495" t="s">
        <v>707</v>
      </c>
      <c r="B495" t="s">
        <v>105</v>
      </c>
      <c r="C495">
        <v>57</v>
      </c>
      <c r="D495">
        <v>34289</v>
      </c>
      <c r="E495">
        <v>1167871</v>
      </c>
      <c r="F495">
        <v>10.84</v>
      </c>
      <c r="G495">
        <v>240</v>
      </c>
      <c r="H495">
        <v>613</v>
      </c>
      <c r="I495" t="s">
        <v>27</v>
      </c>
      <c r="J495" t="s">
        <v>28</v>
      </c>
      <c r="K495">
        <v>11928</v>
      </c>
      <c r="L495" t="s">
        <v>22</v>
      </c>
      <c r="M495" s="8">
        <v>44690</v>
      </c>
      <c r="N495" t="str">
        <f>_xlfn.XLOOKUP(B495,Customer_Master!A:A,Customer_Master!C:C,"Not Found")</f>
        <v>Pune</v>
      </c>
      <c r="O495" t="str">
        <f>_xlfn.XLOOKUP(B495,Customer_Master!A:A,Customer_Master!D:D,"Not Found")</f>
        <v>Self-Employed</v>
      </c>
      <c r="P495" t="str">
        <f>_xlfn.XLOOKUP(B495,Customer_Master!A:A,Customer_Master!E:E,"Not Found")</f>
        <v>Low</v>
      </c>
      <c r="Q495" t="str" cm="1">
        <f t="array" ref="Q495">_xlfn.IFS(H495&lt;600,"High Risk",H495&lt;=750,"Medium Risk",TRUE,"Low Risk")</f>
        <v>Medium Risk</v>
      </c>
    </row>
    <row r="496" spans="1:17" x14ac:dyDescent="0.3">
      <c r="A496" t="s">
        <v>708</v>
      </c>
      <c r="B496" t="s">
        <v>284</v>
      </c>
      <c r="C496">
        <v>35</v>
      </c>
      <c r="D496">
        <v>154791</v>
      </c>
      <c r="E496">
        <v>686353</v>
      </c>
      <c r="F496">
        <v>8.01</v>
      </c>
      <c r="G496">
        <v>60</v>
      </c>
      <c r="H496">
        <v>777</v>
      </c>
      <c r="I496" t="s">
        <v>20</v>
      </c>
      <c r="J496" t="s">
        <v>21</v>
      </c>
      <c r="K496">
        <v>13920</v>
      </c>
      <c r="L496" t="s">
        <v>17</v>
      </c>
      <c r="M496" s="8">
        <v>45326</v>
      </c>
      <c r="N496" t="str">
        <f>_xlfn.XLOOKUP(B496,Customer_Master!A:A,Customer_Master!C:C,"Not Found")</f>
        <v>Mumbai</v>
      </c>
      <c r="O496" t="str">
        <f>_xlfn.XLOOKUP(B496,Customer_Master!A:A,Customer_Master!D:D,"Not Found")</f>
        <v>Salaried</v>
      </c>
      <c r="P496" t="str">
        <f>_xlfn.XLOOKUP(B496,Customer_Master!A:A,Customer_Master!E:E,"Not Found")</f>
        <v>Low</v>
      </c>
      <c r="Q496" t="str" cm="1">
        <f t="array" ref="Q496">_xlfn.IFS(H496&lt;600,"High Risk",H496&lt;=750,"Medium Risk",TRUE,"Low Risk")</f>
        <v>Low Risk</v>
      </c>
    </row>
    <row r="497" spans="1:17" x14ac:dyDescent="0.3">
      <c r="A497" t="s">
        <v>709</v>
      </c>
      <c r="B497" t="s">
        <v>451</v>
      </c>
      <c r="C497">
        <v>46</v>
      </c>
      <c r="D497">
        <v>122167</v>
      </c>
      <c r="E497">
        <v>1973428</v>
      </c>
      <c r="F497">
        <v>14.18</v>
      </c>
      <c r="G497">
        <v>120</v>
      </c>
      <c r="H497">
        <v>555</v>
      </c>
      <c r="I497" t="s">
        <v>15</v>
      </c>
      <c r="J497" t="s">
        <v>28</v>
      </c>
      <c r="K497">
        <v>30855</v>
      </c>
      <c r="L497" t="s">
        <v>22</v>
      </c>
      <c r="M497" s="8">
        <v>45314</v>
      </c>
      <c r="N497" t="str">
        <f>_xlfn.XLOOKUP(B497,Customer_Master!A:A,Customer_Master!C:C,"Not Found")</f>
        <v>Delhi</v>
      </c>
      <c r="O497" t="str">
        <f>_xlfn.XLOOKUP(B497,Customer_Master!A:A,Customer_Master!D:D,"Not Found")</f>
        <v>Self-Employed</v>
      </c>
      <c r="P497" t="str">
        <f>_xlfn.XLOOKUP(B497,Customer_Master!A:A,Customer_Master!E:E,"Not Found")</f>
        <v>Medium</v>
      </c>
      <c r="Q497" t="str" cm="1">
        <f t="array" ref="Q497">_xlfn.IFS(H497&lt;600,"High Risk",H497&lt;=750,"Medium Risk",TRUE,"Low Risk")</f>
        <v>High Risk</v>
      </c>
    </row>
    <row r="498" spans="1:17" x14ac:dyDescent="0.3">
      <c r="A498" t="s">
        <v>710</v>
      </c>
      <c r="B498" t="s">
        <v>57</v>
      </c>
      <c r="C498">
        <v>23</v>
      </c>
      <c r="D498">
        <v>83994</v>
      </c>
      <c r="E498">
        <v>230051</v>
      </c>
      <c r="F498">
        <v>14.41</v>
      </c>
      <c r="G498">
        <v>180</v>
      </c>
      <c r="H498">
        <v>707</v>
      </c>
      <c r="I498" t="s">
        <v>20</v>
      </c>
      <c r="J498" t="s">
        <v>16</v>
      </c>
      <c r="K498">
        <v>3127</v>
      </c>
      <c r="L498" t="s">
        <v>22</v>
      </c>
      <c r="M498" s="8">
        <v>45166</v>
      </c>
      <c r="N498" t="str">
        <f>_xlfn.XLOOKUP(B498,Customer_Master!A:A,Customer_Master!C:C,"Not Found")</f>
        <v>Pune</v>
      </c>
      <c r="O498" t="str">
        <f>_xlfn.XLOOKUP(B498,Customer_Master!A:A,Customer_Master!D:D,"Not Found")</f>
        <v>Salaried</v>
      </c>
      <c r="P498" t="str">
        <f>_xlfn.XLOOKUP(B498,Customer_Master!A:A,Customer_Master!E:E,"Not Found")</f>
        <v>Medium</v>
      </c>
      <c r="Q498" t="str" cm="1">
        <f t="array" ref="Q498">_xlfn.IFS(H498&lt;600,"High Risk",H498&lt;=750,"Medium Risk",TRUE,"Low Risk")</f>
        <v>Medium Risk</v>
      </c>
    </row>
    <row r="499" spans="1:17" x14ac:dyDescent="0.3">
      <c r="A499" t="s">
        <v>711</v>
      </c>
      <c r="B499" t="s">
        <v>618</v>
      </c>
      <c r="C499">
        <v>30</v>
      </c>
      <c r="D499">
        <v>153510</v>
      </c>
      <c r="E499">
        <v>848197</v>
      </c>
      <c r="F499">
        <v>12.01</v>
      </c>
      <c r="G499">
        <v>12</v>
      </c>
      <c r="H499">
        <v>611</v>
      </c>
      <c r="I499" t="s">
        <v>27</v>
      </c>
      <c r="J499" t="s">
        <v>16</v>
      </c>
      <c r="K499">
        <v>75365</v>
      </c>
      <c r="L499" t="s">
        <v>17</v>
      </c>
      <c r="M499" s="8">
        <v>44677</v>
      </c>
      <c r="N499" t="str">
        <f>_xlfn.XLOOKUP(B499,Customer_Master!A:A,Customer_Master!C:C,"Not Found")</f>
        <v>Bangalore</v>
      </c>
      <c r="O499" t="str">
        <f>_xlfn.XLOOKUP(B499,Customer_Master!A:A,Customer_Master!D:D,"Not Found")</f>
        <v>Salaried</v>
      </c>
      <c r="P499" t="str">
        <f>_xlfn.XLOOKUP(B499,Customer_Master!A:A,Customer_Master!E:E,"Not Found")</f>
        <v>Medium</v>
      </c>
      <c r="Q499" t="str" cm="1">
        <f t="array" ref="Q499">_xlfn.IFS(H499&lt;600,"High Risk",H499&lt;=750,"Medium Risk",TRUE,"Low Risk")</f>
        <v>Medium Risk</v>
      </c>
    </row>
    <row r="500" spans="1:17" x14ac:dyDescent="0.3">
      <c r="A500" t="s">
        <v>712</v>
      </c>
      <c r="B500" t="s">
        <v>135</v>
      </c>
      <c r="C500">
        <v>24</v>
      </c>
      <c r="D500">
        <v>153977</v>
      </c>
      <c r="E500">
        <v>1512915</v>
      </c>
      <c r="F500">
        <v>12.2</v>
      </c>
      <c r="G500">
        <v>180</v>
      </c>
      <c r="H500">
        <v>791</v>
      </c>
      <c r="I500" t="s">
        <v>15</v>
      </c>
      <c r="J500" t="s">
        <v>28</v>
      </c>
      <c r="K500">
        <v>18353</v>
      </c>
      <c r="L500" t="s">
        <v>22</v>
      </c>
      <c r="M500" s="8">
        <v>44584</v>
      </c>
      <c r="N500" t="str">
        <f>_xlfn.XLOOKUP(B500,Customer_Master!A:A,Customer_Master!C:C,"Not Found")</f>
        <v>Bangalore</v>
      </c>
      <c r="O500" t="str">
        <f>_xlfn.XLOOKUP(B500,Customer_Master!A:A,Customer_Master!D:D,"Not Found")</f>
        <v>Self-Employed</v>
      </c>
      <c r="P500" t="str">
        <f>_xlfn.XLOOKUP(B500,Customer_Master!A:A,Customer_Master!E:E,"Not Found")</f>
        <v>Medium</v>
      </c>
      <c r="Q500" t="str" cm="1">
        <f t="array" ref="Q500">_xlfn.IFS(H500&lt;600,"High Risk",H500&lt;=750,"Medium Risk",TRUE,"Low Risk")</f>
        <v>Low Risk</v>
      </c>
    </row>
    <row r="501" spans="1:17" x14ac:dyDescent="0.3">
      <c r="A501" t="s">
        <v>713</v>
      </c>
      <c r="B501" t="s">
        <v>76</v>
      </c>
      <c r="C501">
        <v>26</v>
      </c>
      <c r="D501">
        <v>177425</v>
      </c>
      <c r="E501">
        <v>217876</v>
      </c>
      <c r="F501">
        <v>9.26</v>
      </c>
      <c r="G501">
        <v>60</v>
      </c>
      <c r="H501">
        <v>709</v>
      </c>
      <c r="I501" t="s">
        <v>20</v>
      </c>
      <c r="J501" t="s">
        <v>16</v>
      </c>
      <c r="K501">
        <v>4550</v>
      </c>
      <c r="L501" t="s">
        <v>22</v>
      </c>
      <c r="M501" s="8">
        <v>44947</v>
      </c>
      <c r="N501" t="str">
        <f>_xlfn.XLOOKUP(B501,Customer_Master!A:A,Customer_Master!C:C,"Not Found")</f>
        <v>Pune</v>
      </c>
      <c r="O501" t="str">
        <f>_xlfn.XLOOKUP(B501,Customer_Master!A:A,Customer_Master!D:D,"Not Found")</f>
        <v>Self-Employed</v>
      </c>
      <c r="P501" t="str">
        <f>_xlfn.XLOOKUP(B501,Customer_Master!A:A,Customer_Master!E:E,"Not Found")</f>
        <v>Low</v>
      </c>
      <c r="Q501" t="str" cm="1">
        <f t="array" ref="Q501">_xlfn.IFS(H501&lt;600,"High Risk",H501&lt;=750,"Medium Risk",TRUE,"Low Risk")</f>
        <v>Medium Risk</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01"/>
  <sheetViews>
    <sheetView topLeftCell="A495" workbookViewId="0">
      <selection activeCell="F1" sqref="F1:G501"/>
    </sheetView>
  </sheetViews>
  <sheetFormatPr defaultRowHeight="14.4" x14ac:dyDescent="0.3"/>
  <cols>
    <col min="1" max="1" width="10.88671875" bestFit="1" customWidth="1"/>
    <col min="2" max="2" width="14.21875" bestFit="1" customWidth="1"/>
    <col min="4" max="4" width="16" bestFit="1" customWidth="1"/>
    <col min="5" max="5" width="10.44140625" bestFit="1" customWidth="1"/>
    <col min="6" max="6" width="16.77734375" style="8" bestFit="1" customWidth="1"/>
    <col min="7" max="7" width="13.88671875" customWidth="1"/>
  </cols>
  <sheetData>
    <row r="1" spans="1:7" x14ac:dyDescent="0.3">
      <c r="A1" s="1" t="s">
        <v>1</v>
      </c>
      <c r="B1" s="1" t="s">
        <v>714</v>
      </c>
      <c r="C1" s="1" t="s">
        <v>715</v>
      </c>
      <c r="D1" s="1" t="s">
        <v>716</v>
      </c>
      <c r="E1" s="1" t="s">
        <v>717</v>
      </c>
      <c r="F1" s="7" t="s">
        <v>12</v>
      </c>
      <c r="G1" s="1" t="s">
        <v>4</v>
      </c>
    </row>
    <row r="2" spans="1:7" x14ac:dyDescent="0.3">
      <c r="A2" t="s">
        <v>430</v>
      </c>
      <c r="B2" t="s">
        <v>718</v>
      </c>
      <c r="C2" t="s">
        <v>719</v>
      </c>
      <c r="D2" t="s">
        <v>720</v>
      </c>
      <c r="E2" t="s">
        <v>721</v>
      </c>
      <c r="F2" s="8">
        <v>44953</v>
      </c>
      <c r="G2">
        <v>707284</v>
      </c>
    </row>
    <row r="3" spans="1:7" x14ac:dyDescent="0.3">
      <c r="A3" t="s">
        <v>227</v>
      </c>
      <c r="B3" t="s">
        <v>722</v>
      </c>
      <c r="C3" t="s">
        <v>719</v>
      </c>
      <c r="D3" t="s">
        <v>723</v>
      </c>
      <c r="E3" t="s">
        <v>721</v>
      </c>
      <c r="F3" s="8">
        <v>44569</v>
      </c>
      <c r="G3">
        <v>921446</v>
      </c>
    </row>
    <row r="4" spans="1:7" x14ac:dyDescent="0.3">
      <c r="A4" t="s">
        <v>45</v>
      </c>
      <c r="B4" t="s">
        <v>724</v>
      </c>
      <c r="C4" t="s">
        <v>725</v>
      </c>
      <c r="D4" t="s">
        <v>720</v>
      </c>
      <c r="E4" t="s">
        <v>726</v>
      </c>
      <c r="F4" s="8">
        <v>45047</v>
      </c>
      <c r="G4">
        <v>907995</v>
      </c>
    </row>
    <row r="5" spans="1:7" x14ac:dyDescent="0.3">
      <c r="A5" t="s">
        <v>234</v>
      </c>
      <c r="B5" t="s">
        <v>727</v>
      </c>
      <c r="C5" t="s">
        <v>728</v>
      </c>
      <c r="D5" t="s">
        <v>720</v>
      </c>
      <c r="E5" t="s">
        <v>726</v>
      </c>
      <c r="F5" s="8">
        <v>45306</v>
      </c>
      <c r="G5">
        <v>449052</v>
      </c>
    </row>
    <row r="6" spans="1:7" x14ac:dyDescent="0.3">
      <c r="A6" t="s">
        <v>476</v>
      </c>
      <c r="B6" t="s">
        <v>729</v>
      </c>
      <c r="C6" t="s">
        <v>730</v>
      </c>
      <c r="D6" t="s">
        <v>720</v>
      </c>
      <c r="E6" t="s">
        <v>721</v>
      </c>
      <c r="F6" s="8">
        <v>45315</v>
      </c>
      <c r="G6">
        <v>1975970</v>
      </c>
    </row>
    <row r="7" spans="1:7" x14ac:dyDescent="0.3">
      <c r="A7" t="s">
        <v>33</v>
      </c>
      <c r="B7" t="s">
        <v>731</v>
      </c>
      <c r="C7" t="s">
        <v>730</v>
      </c>
      <c r="D7" t="s">
        <v>723</v>
      </c>
      <c r="E7" t="s">
        <v>732</v>
      </c>
      <c r="F7" s="8">
        <v>45134</v>
      </c>
      <c r="G7">
        <v>1108068</v>
      </c>
    </row>
    <row r="8" spans="1:7" x14ac:dyDescent="0.3">
      <c r="A8" t="s">
        <v>474</v>
      </c>
      <c r="B8" t="s">
        <v>733</v>
      </c>
      <c r="C8" t="s">
        <v>728</v>
      </c>
      <c r="D8" t="s">
        <v>723</v>
      </c>
      <c r="E8" t="s">
        <v>721</v>
      </c>
      <c r="F8" s="8">
        <v>44913</v>
      </c>
      <c r="G8">
        <v>464871</v>
      </c>
    </row>
    <row r="9" spans="1:7" x14ac:dyDescent="0.3">
      <c r="A9" t="s">
        <v>505</v>
      </c>
      <c r="B9" t="s">
        <v>734</v>
      </c>
      <c r="C9" t="s">
        <v>719</v>
      </c>
      <c r="D9" t="s">
        <v>723</v>
      </c>
      <c r="E9" t="s">
        <v>726</v>
      </c>
      <c r="F9" s="8">
        <v>45481</v>
      </c>
      <c r="G9">
        <v>1272571</v>
      </c>
    </row>
    <row r="10" spans="1:7" x14ac:dyDescent="0.3">
      <c r="A10" t="s">
        <v>393</v>
      </c>
      <c r="B10" t="s">
        <v>735</v>
      </c>
      <c r="C10" t="s">
        <v>728</v>
      </c>
      <c r="D10" t="s">
        <v>720</v>
      </c>
      <c r="E10" t="s">
        <v>721</v>
      </c>
      <c r="F10" s="8">
        <v>45321</v>
      </c>
      <c r="G10">
        <v>768381</v>
      </c>
    </row>
    <row r="11" spans="1:7" x14ac:dyDescent="0.3">
      <c r="A11" t="s">
        <v>362</v>
      </c>
      <c r="B11" t="s">
        <v>736</v>
      </c>
      <c r="C11" t="s">
        <v>719</v>
      </c>
      <c r="D11" t="s">
        <v>737</v>
      </c>
      <c r="E11" t="s">
        <v>726</v>
      </c>
      <c r="F11" s="8">
        <v>45123</v>
      </c>
      <c r="G11">
        <v>1299686</v>
      </c>
    </row>
    <row r="12" spans="1:7" x14ac:dyDescent="0.3">
      <c r="A12" t="s">
        <v>97</v>
      </c>
      <c r="B12" t="s">
        <v>738</v>
      </c>
      <c r="C12" t="s">
        <v>728</v>
      </c>
      <c r="D12" t="s">
        <v>737</v>
      </c>
      <c r="E12" t="s">
        <v>721</v>
      </c>
      <c r="F12" s="8">
        <v>45202</v>
      </c>
      <c r="G12">
        <v>478994</v>
      </c>
    </row>
    <row r="13" spans="1:7" x14ac:dyDescent="0.3">
      <c r="A13" t="s">
        <v>109</v>
      </c>
      <c r="B13" t="s">
        <v>739</v>
      </c>
      <c r="C13" t="s">
        <v>719</v>
      </c>
      <c r="D13" t="s">
        <v>737</v>
      </c>
      <c r="E13" t="s">
        <v>721</v>
      </c>
      <c r="F13" s="8">
        <v>45503</v>
      </c>
      <c r="G13">
        <v>737583</v>
      </c>
    </row>
    <row r="14" spans="1:7" x14ac:dyDescent="0.3">
      <c r="A14" t="s">
        <v>236</v>
      </c>
      <c r="B14" t="s">
        <v>740</v>
      </c>
      <c r="C14" t="s">
        <v>730</v>
      </c>
      <c r="D14" t="s">
        <v>737</v>
      </c>
      <c r="E14" t="s">
        <v>721</v>
      </c>
      <c r="F14" s="8">
        <v>45194</v>
      </c>
      <c r="G14">
        <v>1008209</v>
      </c>
    </row>
    <row r="15" spans="1:7" x14ac:dyDescent="0.3">
      <c r="A15" t="s">
        <v>207</v>
      </c>
      <c r="B15" t="s">
        <v>741</v>
      </c>
      <c r="C15" t="s">
        <v>742</v>
      </c>
      <c r="D15" t="s">
        <v>723</v>
      </c>
      <c r="E15" t="s">
        <v>726</v>
      </c>
      <c r="F15" s="8">
        <v>45438</v>
      </c>
      <c r="G15">
        <v>1013858</v>
      </c>
    </row>
    <row r="16" spans="1:7" x14ac:dyDescent="0.3">
      <c r="A16" t="s">
        <v>188</v>
      </c>
      <c r="B16" t="s">
        <v>743</v>
      </c>
      <c r="C16" t="s">
        <v>719</v>
      </c>
      <c r="D16" t="s">
        <v>723</v>
      </c>
      <c r="E16" t="s">
        <v>721</v>
      </c>
      <c r="F16" s="8">
        <v>45208</v>
      </c>
      <c r="G16">
        <v>1380340</v>
      </c>
    </row>
    <row r="17" spans="1:7" x14ac:dyDescent="0.3">
      <c r="A17" t="s">
        <v>376</v>
      </c>
      <c r="B17" t="s">
        <v>744</v>
      </c>
      <c r="C17" t="s">
        <v>730</v>
      </c>
      <c r="D17" t="s">
        <v>720</v>
      </c>
      <c r="E17" t="s">
        <v>732</v>
      </c>
      <c r="F17" s="8">
        <v>44617</v>
      </c>
      <c r="G17">
        <v>438117</v>
      </c>
    </row>
    <row r="18" spans="1:7" x14ac:dyDescent="0.3">
      <c r="A18" t="s">
        <v>745</v>
      </c>
      <c r="B18" t="s">
        <v>746</v>
      </c>
      <c r="C18" t="s">
        <v>742</v>
      </c>
      <c r="D18" t="s">
        <v>737</v>
      </c>
      <c r="E18" t="s">
        <v>732</v>
      </c>
      <c r="F18" s="8">
        <v>45327</v>
      </c>
      <c r="G18">
        <v>231401</v>
      </c>
    </row>
    <row r="19" spans="1:7" x14ac:dyDescent="0.3">
      <c r="A19" t="s">
        <v>288</v>
      </c>
      <c r="B19" t="s">
        <v>747</v>
      </c>
      <c r="C19" t="s">
        <v>719</v>
      </c>
      <c r="D19" t="s">
        <v>720</v>
      </c>
      <c r="E19" t="s">
        <v>732</v>
      </c>
      <c r="F19" s="8">
        <v>45057</v>
      </c>
      <c r="G19">
        <v>974216</v>
      </c>
    </row>
    <row r="20" spans="1:7" x14ac:dyDescent="0.3">
      <c r="A20" t="s">
        <v>148</v>
      </c>
      <c r="B20" t="s">
        <v>748</v>
      </c>
      <c r="C20" t="s">
        <v>728</v>
      </c>
      <c r="D20" t="s">
        <v>720</v>
      </c>
      <c r="E20" t="s">
        <v>726</v>
      </c>
      <c r="F20" s="8">
        <v>45392</v>
      </c>
      <c r="G20">
        <v>1572278</v>
      </c>
    </row>
    <row r="21" spans="1:7" x14ac:dyDescent="0.3">
      <c r="A21" t="s">
        <v>157</v>
      </c>
      <c r="B21" t="s">
        <v>749</v>
      </c>
      <c r="C21" t="s">
        <v>730</v>
      </c>
      <c r="D21" t="s">
        <v>737</v>
      </c>
      <c r="E21" t="s">
        <v>721</v>
      </c>
      <c r="F21" s="8">
        <v>45012</v>
      </c>
      <c r="G21">
        <v>578454</v>
      </c>
    </row>
    <row r="22" spans="1:7" x14ac:dyDescent="0.3">
      <c r="A22" t="s">
        <v>607</v>
      </c>
      <c r="B22" t="s">
        <v>750</v>
      </c>
      <c r="C22" t="s">
        <v>742</v>
      </c>
      <c r="D22" t="s">
        <v>737</v>
      </c>
      <c r="E22" t="s">
        <v>726</v>
      </c>
      <c r="F22" s="8">
        <v>45196</v>
      </c>
      <c r="G22">
        <v>944252</v>
      </c>
    </row>
    <row r="23" spans="1:7" x14ac:dyDescent="0.3">
      <c r="A23" t="s">
        <v>320</v>
      </c>
      <c r="B23" t="s">
        <v>751</v>
      </c>
      <c r="C23" t="s">
        <v>719</v>
      </c>
      <c r="D23" t="s">
        <v>720</v>
      </c>
      <c r="E23" t="s">
        <v>721</v>
      </c>
      <c r="F23" s="8">
        <v>44977</v>
      </c>
      <c r="G23">
        <v>819078</v>
      </c>
    </row>
    <row r="24" spans="1:7" x14ac:dyDescent="0.3">
      <c r="A24" t="s">
        <v>582</v>
      </c>
      <c r="B24" t="s">
        <v>752</v>
      </c>
      <c r="C24" t="s">
        <v>730</v>
      </c>
      <c r="D24" t="s">
        <v>723</v>
      </c>
      <c r="E24" t="s">
        <v>732</v>
      </c>
      <c r="F24" s="8">
        <v>45555</v>
      </c>
      <c r="G24">
        <v>240746</v>
      </c>
    </row>
    <row r="25" spans="1:7" x14ac:dyDescent="0.3">
      <c r="A25" t="s">
        <v>422</v>
      </c>
      <c r="B25" t="s">
        <v>753</v>
      </c>
      <c r="C25" t="s">
        <v>719</v>
      </c>
      <c r="D25" t="s">
        <v>723</v>
      </c>
      <c r="E25" t="s">
        <v>721</v>
      </c>
      <c r="F25" s="8">
        <v>44828</v>
      </c>
      <c r="G25">
        <v>1290537</v>
      </c>
    </row>
    <row r="26" spans="1:7" x14ac:dyDescent="0.3">
      <c r="A26" t="s">
        <v>99</v>
      </c>
      <c r="B26" t="s">
        <v>754</v>
      </c>
      <c r="C26" t="s">
        <v>719</v>
      </c>
      <c r="D26" t="s">
        <v>720</v>
      </c>
      <c r="E26" t="s">
        <v>721</v>
      </c>
      <c r="F26" s="8">
        <v>45488</v>
      </c>
      <c r="G26">
        <v>1366755</v>
      </c>
    </row>
    <row r="27" spans="1:7" x14ac:dyDescent="0.3">
      <c r="A27" t="s">
        <v>593</v>
      </c>
      <c r="B27" t="s">
        <v>755</v>
      </c>
      <c r="C27" t="s">
        <v>742</v>
      </c>
      <c r="D27" t="s">
        <v>737</v>
      </c>
      <c r="E27" t="s">
        <v>721</v>
      </c>
      <c r="F27" s="8">
        <v>44664</v>
      </c>
      <c r="G27">
        <v>169490</v>
      </c>
    </row>
    <row r="28" spans="1:7" x14ac:dyDescent="0.3">
      <c r="A28" t="s">
        <v>141</v>
      </c>
      <c r="B28" t="s">
        <v>756</v>
      </c>
      <c r="C28" t="s">
        <v>719</v>
      </c>
      <c r="D28" t="s">
        <v>720</v>
      </c>
      <c r="E28" t="s">
        <v>726</v>
      </c>
      <c r="F28" s="8">
        <v>44957</v>
      </c>
      <c r="G28">
        <v>1598000</v>
      </c>
    </row>
    <row r="29" spans="1:7" x14ac:dyDescent="0.3">
      <c r="A29" t="s">
        <v>338</v>
      </c>
      <c r="B29" t="s">
        <v>757</v>
      </c>
      <c r="C29" t="s">
        <v>719</v>
      </c>
      <c r="D29" t="s">
        <v>737</v>
      </c>
      <c r="E29" t="s">
        <v>732</v>
      </c>
      <c r="F29" s="8">
        <v>44710</v>
      </c>
      <c r="G29">
        <v>1650979</v>
      </c>
    </row>
    <row r="30" spans="1:7" x14ac:dyDescent="0.3">
      <c r="A30" t="s">
        <v>57</v>
      </c>
      <c r="B30" t="s">
        <v>758</v>
      </c>
      <c r="C30" t="s">
        <v>725</v>
      </c>
      <c r="D30" t="s">
        <v>723</v>
      </c>
      <c r="E30" t="s">
        <v>732</v>
      </c>
      <c r="F30" s="8">
        <v>45086</v>
      </c>
      <c r="G30">
        <v>788928</v>
      </c>
    </row>
    <row r="31" spans="1:7" x14ac:dyDescent="0.3">
      <c r="A31" t="s">
        <v>159</v>
      </c>
      <c r="B31" t="s">
        <v>759</v>
      </c>
      <c r="C31" t="s">
        <v>728</v>
      </c>
      <c r="D31" t="s">
        <v>720</v>
      </c>
      <c r="E31" t="s">
        <v>721</v>
      </c>
      <c r="F31" s="8">
        <v>45166</v>
      </c>
      <c r="G31">
        <v>612701</v>
      </c>
    </row>
    <row r="32" spans="1:7" x14ac:dyDescent="0.3">
      <c r="A32" t="s">
        <v>370</v>
      </c>
      <c r="B32" t="s">
        <v>760</v>
      </c>
      <c r="C32" t="s">
        <v>725</v>
      </c>
      <c r="D32" t="s">
        <v>723</v>
      </c>
      <c r="E32" t="s">
        <v>721</v>
      </c>
      <c r="F32" s="8">
        <v>45430</v>
      </c>
      <c r="G32">
        <v>1285240</v>
      </c>
    </row>
    <row r="33" spans="1:7" x14ac:dyDescent="0.3">
      <c r="A33" t="s">
        <v>167</v>
      </c>
      <c r="B33" t="s">
        <v>761</v>
      </c>
      <c r="C33" t="s">
        <v>725</v>
      </c>
      <c r="D33" t="s">
        <v>723</v>
      </c>
      <c r="E33" t="s">
        <v>721</v>
      </c>
      <c r="F33" s="8">
        <v>44857</v>
      </c>
      <c r="G33">
        <v>1024105</v>
      </c>
    </row>
    <row r="34" spans="1:7" x14ac:dyDescent="0.3">
      <c r="A34" t="s">
        <v>262</v>
      </c>
      <c r="B34" t="s">
        <v>762</v>
      </c>
      <c r="C34" t="s">
        <v>719</v>
      </c>
      <c r="D34" t="s">
        <v>723</v>
      </c>
      <c r="E34" t="s">
        <v>726</v>
      </c>
      <c r="F34" s="8">
        <v>45281</v>
      </c>
      <c r="G34">
        <v>421968</v>
      </c>
    </row>
    <row r="35" spans="1:7" x14ac:dyDescent="0.3">
      <c r="A35" t="s">
        <v>254</v>
      </c>
      <c r="B35" t="s">
        <v>763</v>
      </c>
      <c r="C35" t="s">
        <v>719</v>
      </c>
      <c r="D35" t="s">
        <v>720</v>
      </c>
      <c r="E35" t="s">
        <v>726</v>
      </c>
      <c r="F35" s="8">
        <v>45035</v>
      </c>
      <c r="G35">
        <v>211692</v>
      </c>
    </row>
    <row r="36" spans="1:7" x14ac:dyDescent="0.3">
      <c r="A36" t="s">
        <v>205</v>
      </c>
      <c r="B36" t="s">
        <v>764</v>
      </c>
      <c r="C36" t="s">
        <v>719</v>
      </c>
      <c r="D36" t="s">
        <v>737</v>
      </c>
      <c r="E36" t="s">
        <v>726</v>
      </c>
      <c r="F36" s="8">
        <v>45106</v>
      </c>
      <c r="G36">
        <v>1284100</v>
      </c>
    </row>
    <row r="37" spans="1:7" x14ac:dyDescent="0.3">
      <c r="A37" t="s">
        <v>146</v>
      </c>
      <c r="B37" t="s">
        <v>765</v>
      </c>
      <c r="C37" t="s">
        <v>742</v>
      </c>
      <c r="D37" t="s">
        <v>723</v>
      </c>
      <c r="E37" t="s">
        <v>726</v>
      </c>
      <c r="F37" s="8">
        <v>45513</v>
      </c>
      <c r="G37">
        <v>701552</v>
      </c>
    </row>
    <row r="38" spans="1:7" x14ac:dyDescent="0.3">
      <c r="A38" t="s">
        <v>766</v>
      </c>
      <c r="B38" t="s">
        <v>767</v>
      </c>
      <c r="C38" t="s">
        <v>728</v>
      </c>
      <c r="D38" t="s">
        <v>737</v>
      </c>
      <c r="E38" t="s">
        <v>721</v>
      </c>
      <c r="F38" s="8">
        <v>44702</v>
      </c>
      <c r="G38">
        <v>468565</v>
      </c>
    </row>
    <row r="39" spans="1:7" x14ac:dyDescent="0.3">
      <c r="A39" t="s">
        <v>540</v>
      </c>
      <c r="B39" t="s">
        <v>768</v>
      </c>
      <c r="C39" t="s">
        <v>728</v>
      </c>
      <c r="D39" t="s">
        <v>723</v>
      </c>
      <c r="E39" t="s">
        <v>732</v>
      </c>
      <c r="F39" s="8">
        <v>45484</v>
      </c>
      <c r="G39">
        <v>352863</v>
      </c>
    </row>
    <row r="40" spans="1:7" x14ac:dyDescent="0.3">
      <c r="A40" t="s">
        <v>502</v>
      </c>
      <c r="B40" t="s">
        <v>769</v>
      </c>
      <c r="C40" t="s">
        <v>770</v>
      </c>
      <c r="D40" t="s">
        <v>737</v>
      </c>
      <c r="E40" t="s">
        <v>732</v>
      </c>
      <c r="F40" s="8">
        <v>45323</v>
      </c>
      <c r="G40">
        <v>557111</v>
      </c>
    </row>
    <row r="41" spans="1:7" x14ac:dyDescent="0.3">
      <c r="A41" t="s">
        <v>43</v>
      </c>
      <c r="B41" t="s">
        <v>771</v>
      </c>
      <c r="C41" t="s">
        <v>728</v>
      </c>
      <c r="D41" t="s">
        <v>737</v>
      </c>
      <c r="E41" t="s">
        <v>726</v>
      </c>
      <c r="F41" s="8">
        <v>45370</v>
      </c>
      <c r="G41">
        <v>107787</v>
      </c>
    </row>
    <row r="42" spans="1:7" x14ac:dyDescent="0.3">
      <c r="A42" t="s">
        <v>103</v>
      </c>
      <c r="B42" t="s">
        <v>772</v>
      </c>
      <c r="C42" t="s">
        <v>730</v>
      </c>
      <c r="D42" t="s">
        <v>723</v>
      </c>
      <c r="E42" t="s">
        <v>721</v>
      </c>
      <c r="F42" s="8">
        <v>45525</v>
      </c>
      <c r="G42">
        <v>327707</v>
      </c>
    </row>
    <row r="43" spans="1:7" x14ac:dyDescent="0.3">
      <c r="A43" t="s">
        <v>408</v>
      </c>
      <c r="B43" t="s">
        <v>773</v>
      </c>
      <c r="C43" t="s">
        <v>742</v>
      </c>
      <c r="D43" t="s">
        <v>723</v>
      </c>
      <c r="E43" t="s">
        <v>726</v>
      </c>
      <c r="F43" s="8">
        <v>44572</v>
      </c>
      <c r="G43">
        <v>1755735</v>
      </c>
    </row>
    <row r="44" spans="1:7" x14ac:dyDescent="0.3">
      <c r="A44" t="s">
        <v>325</v>
      </c>
      <c r="B44" t="s">
        <v>774</v>
      </c>
      <c r="C44" t="s">
        <v>770</v>
      </c>
      <c r="D44" t="s">
        <v>720</v>
      </c>
      <c r="E44" t="s">
        <v>721</v>
      </c>
      <c r="F44" s="8">
        <v>45123</v>
      </c>
      <c r="G44">
        <v>822436</v>
      </c>
    </row>
    <row r="45" spans="1:7" x14ac:dyDescent="0.3">
      <c r="A45" t="s">
        <v>472</v>
      </c>
      <c r="B45" t="s">
        <v>775</v>
      </c>
      <c r="C45" t="s">
        <v>730</v>
      </c>
      <c r="D45" t="s">
        <v>737</v>
      </c>
      <c r="E45" t="s">
        <v>732</v>
      </c>
      <c r="F45" s="8">
        <v>45162</v>
      </c>
      <c r="G45">
        <v>653849</v>
      </c>
    </row>
    <row r="46" spans="1:7" x14ac:dyDescent="0.3">
      <c r="A46" t="s">
        <v>154</v>
      </c>
      <c r="B46" t="s">
        <v>776</v>
      </c>
      <c r="C46" t="s">
        <v>725</v>
      </c>
      <c r="D46" t="s">
        <v>720</v>
      </c>
      <c r="E46" t="s">
        <v>732</v>
      </c>
      <c r="F46" s="8">
        <v>45222</v>
      </c>
      <c r="G46">
        <v>1282169</v>
      </c>
    </row>
    <row r="47" spans="1:7" x14ac:dyDescent="0.3">
      <c r="A47" t="s">
        <v>276</v>
      </c>
      <c r="B47" t="s">
        <v>777</v>
      </c>
      <c r="C47" t="s">
        <v>725</v>
      </c>
      <c r="D47" t="s">
        <v>723</v>
      </c>
      <c r="E47" t="s">
        <v>721</v>
      </c>
      <c r="F47" s="8">
        <v>45095</v>
      </c>
      <c r="G47">
        <v>687223</v>
      </c>
    </row>
    <row r="48" spans="1:7" x14ac:dyDescent="0.3">
      <c r="A48" t="s">
        <v>176</v>
      </c>
      <c r="B48" t="s">
        <v>778</v>
      </c>
      <c r="C48" t="s">
        <v>728</v>
      </c>
      <c r="D48" t="s">
        <v>720</v>
      </c>
      <c r="E48" t="s">
        <v>721</v>
      </c>
      <c r="F48" s="8">
        <v>44619</v>
      </c>
      <c r="G48">
        <v>408471</v>
      </c>
    </row>
    <row r="49" spans="1:7" x14ac:dyDescent="0.3">
      <c r="A49" t="s">
        <v>623</v>
      </c>
      <c r="B49" t="s">
        <v>779</v>
      </c>
      <c r="C49" t="s">
        <v>770</v>
      </c>
      <c r="D49" t="s">
        <v>723</v>
      </c>
      <c r="E49" t="s">
        <v>726</v>
      </c>
      <c r="F49" s="8">
        <v>45222</v>
      </c>
      <c r="G49">
        <v>1087093</v>
      </c>
    </row>
    <row r="50" spans="1:7" x14ac:dyDescent="0.3">
      <c r="A50" t="s">
        <v>63</v>
      </c>
      <c r="B50" t="s">
        <v>780</v>
      </c>
      <c r="C50" t="s">
        <v>742</v>
      </c>
      <c r="D50" t="s">
        <v>737</v>
      </c>
      <c r="E50" t="s">
        <v>732</v>
      </c>
      <c r="F50" s="8">
        <v>45116</v>
      </c>
      <c r="G50">
        <v>1592104</v>
      </c>
    </row>
    <row r="51" spans="1:7" x14ac:dyDescent="0.3">
      <c r="A51" t="s">
        <v>214</v>
      </c>
      <c r="B51" t="s">
        <v>781</v>
      </c>
      <c r="C51" t="s">
        <v>725</v>
      </c>
      <c r="D51" t="s">
        <v>737</v>
      </c>
      <c r="E51" t="s">
        <v>726</v>
      </c>
      <c r="F51" s="8">
        <v>44594</v>
      </c>
      <c r="G51">
        <v>1090875</v>
      </c>
    </row>
    <row r="52" spans="1:7" x14ac:dyDescent="0.3">
      <c r="A52" t="s">
        <v>55</v>
      </c>
      <c r="B52" t="s">
        <v>782</v>
      </c>
      <c r="C52" t="s">
        <v>719</v>
      </c>
      <c r="D52" t="s">
        <v>723</v>
      </c>
      <c r="E52" t="s">
        <v>732</v>
      </c>
      <c r="F52" s="8">
        <v>44812</v>
      </c>
      <c r="G52">
        <v>1256587</v>
      </c>
    </row>
    <row r="53" spans="1:7" x14ac:dyDescent="0.3">
      <c r="A53" t="s">
        <v>127</v>
      </c>
      <c r="B53" t="s">
        <v>783</v>
      </c>
      <c r="C53" t="s">
        <v>730</v>
      </c>
      <c r="D53" t="s">
        <v>723</v>
      </c>
      <c r="E53" t="s">
        <v>732</v>
      </c>
      <c r="F53" s="8">
        <v>44598</v>
      </c>
      <c r="G53">
        <v>1738995</v>
      </c>
    </row>
    <row r="54" spans="1:7" x14ac:dyDescent="0.3">
      <c r="A54" t="s">
        <v>218</v>
      </c>
      <c r="B54" t="s">
        <v>784</v>
      </c>
      <c r="C54" t="s">
        <v>725</v>
      </c>
      <c r="D54" t="s">
        <v>723</v>
      </c>
      <c r="E54" t="s">
        <v>726</v>
      </c>
      <c r="F54" s="8">
        <v>45263</v>
      </c>
      <c r="G54">
        <v>843138</v>
      </c>
    </row>
    <row r="55" spans="1:7" x14ac:dyDescent="0.3">
      <c r="A55" t="s">
        <v>269</v>
      </c>
      <c r="B55" t="s">
        <v>785</v>
      </c>
      <c r="C55" t="s">
        <v>725</v>
      </c>
      <c r="D55" t="s">
        <v>720</v>
      </c>
      <c r="E55" t="s">
        <v>726</v>
      </c>
      <c r="F55" s="8">
        <v>45130</v>
      </c>
      <c r="G55">
        <v>1697647</v>
      </c>
    </row>
    <row r="56" spans="1:7" x14ac:dyDescent="0.3">
      <c r="A56" t="s">
        <v>286</v>
      </c>
      <c r="B56" t="s">
        <v>786</v>
      </c>
      <c r="C56" t="s">
        <v>725</v>
      </c>
      <c r="D56" t="s">
        <v>723</v>
      </c>
      <c r="E56" t="s">
        <v>721</v>
      </c>
      <c r="F56" s="8">
        <v>45038</v>
      </c>
      <c r="G56">
        <v>1623049</v>
      </c>
    </row>
    <row r="57" spans="1:7" x14ac:dyDescent="0.3">
      <c r="A57" t="s">
        <v>185</v>
      </c>
      <c r="B57" t="s">
        <v>787</v>
      </c>
      <c r="C57" t="s">
        <v>728</v>
      </c>
      <c r="D57" t="s">
        <v>720</v>
      </c>
      <c r="E57" t="s">
        <v>732</v>
      </c>
      <c r="F57" s="8">
        <v>44920</v>
      </c>
      <c r="G57">
        <v>113713</v>
      </c>
    </row>
    <row r="58" spans="1:7" x14ac:dyDescent="0.3">
      <c r="A58" t="s">
        <v>577</v>
      </c>
      <c r="B58" t="s">
        <v>788</v>
      </c>
      <c r="C58" t="s">
        <v>742</v>
      </c>
      <c r="D58" t="s">
        <v>737</v>
      </c>
      <c r="E58" t="s">
        <v>721</v>
      </c>
      <c r="F58" s="8">
        <v>45038</v>
      </c>
      <c r="G58">
        <v>1950163</v>
      </c>
    </row>
    <row r="59" spans="1:7" x14ac:dyDescent="0.3">
      <c r="A59" t="s">
        <v>165</v>
      </c>
      <c r="B59" t="s">
        <v>789</v>
      </c>
      <c r="C59" t="s">
        <v>770</v>
      </c>
      <c r="D59" t="s">
        <v>720</v>
      </c>
      <c r="E59" t="s">
        <v>726</v>
      </c>
      <c r="F59" s="8">
        <v>44886</v>
      </c>
      <c r="G59">
        <v>928877</v>
      </c>
    </row>
    <row r="60" spans="1:7" x14ac:dyDescent="0.3">
      <c r="A60" t="s">
        <v>107</v>
      </c>
      <c r="B60" t="s">
        <v>790</v>
      </c>
      <c r="C60" t="s">
        <v>728</v>
      </c>
      <c r="D60" t="s">
        <v>720</v>
      </c>
      <c r="E60" t="s">
        <v>732</v>
      </c>
      <c r="F60" s="8">
        <v>45287</v>
      </c>
      <c r="G60">
        <v>1068679</v>
      </c>
    </row>
    <row r="61" spans="1:7" x14ac:dyDescent="0.3">
      <c r="A61" t="s">
        <v>563</v>
      </c>
      <c r="B61" t="s">
        <v>791</v>
      </c>
      <c r="C61" t="s">
        <v>742</v>
      </c>
      <c r="D61" t="s">
        <v>720</v>
      </c>
      <c r="E61" t="s">
        <v>721</v>
      </c>
      <c r="F61" s="8">
        <v>44823</v>
      </c>
      <c r="G61">
        <v>1553080</v>
      </c>
    </row>
    <row r="62" spans="1:7" x14ac:dyDescent="0.3">
      <c r="A62" t="s">
        <v>661</v>
      </c>
      <c r="B62" t="s">
        <v>792</v>
      </c>
      <c r="C62" t="s">
        <v>725</v>
      </c>
      <c r="D62" t="s">
        <v>737</v>
      </c>
      <c r="E62" t="s">
        <v>732</v>
      </c>
      <c r="F62" s="8">
        <v>45420</v>
      </c>
      <c r="G62">
        <v>735401</v>
      </c>
    </row>
    <row r="63" spans="1:7" x14ac:dyDescent="0.3">
      <c r="A63" t="s">
        <v>793</v>
      </c>
      <c r="B63" t="s">
        <v>794</v>
      </c>
      <c r="C63" t="s">
        <v>730</v>
      </c>
      <c r="D63" t="s">
        <v>737</v>
      </c>
      <c r="E63" t="s">
        <v>721</v>
      </c>
      <c r="F63" s="8">
        <v>44729</v>
      </c>
      <c r="G63">
        <v>1136919</v>
      </c>
    </row>
    <row r="64" spans="1:7" x14ac:dyDescent="0.3">
      <c r="A64" t="s">
        <v>67</v>
      </c>
      <c r="B64" t="s">
        <v>795</v>
      </c>
      <c r="C64" t="s">
        <v>770</v>
      </c>
      <c r="D64" t="s">
        <v>737</v>
      </c>
      <c r="E64" t="s">
        <v>721</v>
      </c>
      <c r="F64" s="8">
        <v>45233</v>
      </c>
      <c r="G64">
        <v>1285387</v>
      </c>
    </row>
    <row r="65" spans="1:7" x14ac:dyDescent="0.3">
      <c r="A65" t="s">
        <v>105</v>
      </c>
      <c r="B65" t="s">
        <v>796</v>
      </c>
      <c r="C65" t="s">
        <v>725</v>
      </c>
      <c r="D65" t="s">
        <v>720</v>
      </c>
      <c r="E65" t="s">
        <v>726</v>
      </c>
      <c r="F65" s="8">
        <v>44642</v>
      </c>
      <c r="G65">
        <v>421149</v>
      </c>
    </row>
    <row r="66" spans="1:7" x14ac:dyDescent="0.3">
      <c r="A66" t="s">
        <v>265</v>
      </c>
      <c r="B66" t="s">
        <v>797</v>
      </c>
      <c r="C66" t="s">
        <v>730</v>
      </c>
      <c r="D66" t="s">
        <v>737</v>
      </c>
      <c r="E66" t="s">
        <v>721</v>
      </c>
      <c r="F66" s="8">
        <v>45529</v>
      </c>
      <c r="G66">
        <v>1922049</v>
      </c>
    </row>
    <row r="67" spans="1:7" x14ac:dyDescent="0.3">
      <c r="A67" t="s">
        <v>403</v>
      </c>
      <c r="B67" t="s">
        <v>798</v>
      </c>
      <c r="C67" t="s">
        <v>725</v>
      </c>
      <c r="D67" t="s">
        <v>737</v>
      </c>
      <c r="E67" t="s">
        <v>721</v>
      </c>
      <c r="F67" s="8">
        <v>45164</v>
      </c>
      <c r="G67">
        <v>271973</v>
      </c>
    </row>
    <row r="68" spans="1:7" x14ac:dyDescent="0.3">
      <c r="A68" t="s">
        <v>152</v>
      </c>
      <c r="B68" t="s">
        <v>799</v>
      </c>
      <c r="C68" t="s">
        <v>719</v>
      </c>
      <c r="D68" t="s">
        <v>723</v>
      </c>
      <c r="E68" t="s">
        <v>726</v>
      </c>
      <c r="F68" s="8">
        <v>44948</v>
      </c>
      <c r="G68">
        <v>1897861</v>
      </c>
    </row>
    <row r="69" spans="1:7" x14ac:dyDescent="0.3">
      <c r="A69" t="s">
        <v>405</v>
      </c>
      <c r="B69" t="s">
        <v>800</v>
      </c>
      <c r="C69" t="s">
        <v>719</v>
      </c>
      <c r="D69" t="s">
        <v>720</v>
      </c>
      <c r="E69" t="s">
        <v>726</v>
      </c>
      <c r="F69" s="8">
        <v>44947</v>
      </c>
      <c r="G69">
        <v>959988</v>
      </c>
    </row>
    <row r="70" spans="1:7" x14ac:dyDescent="0.3">
      <c r="A70" t="s">
        <v>296</v>
      </c>
      <c r="B70" t="s">
        <v>801</v>
      </c>
      <c r="C70" t="s">
        <v>770</v>
      </c>
      <c r="D70" t="s">
        <v>737</v>
      </c>
      <c r="E70" t="s">
        <v>721</v>
      </c>
      <c r="F70" s="8">
        <v>45519</v>
      </c>
      <c r="G70">
        <v>1678621</v>
      </c>
    </row>
    <row r="71" spans="1:7" x14ac:dyDescent="0.3">
      <c r="A71" t="s">
        <v>95</v>
      </c>
      <c r="B71" t="s">
        <v>802</v>
      </c>
      <c r="C71" t="s">
        <v>742</v>
      </c>
      <c r="D71" t="s">
        <v>737</v>
      </c>
      <c r="E71" t="s">
        <v>726</v>
      </c>
      <c r="F71" s="8">
        <v>44761</v>
      </c>
      <c r="G71">
        <v>745816</v>
      </c>
    </row>
    <row r="72" spans="1:7" x14ac:dyDescent="0.3">
      <c r="A72" t="s">
        <v>121</v>
      </c>
      <c r="B72" t="s">
        <v>803</v>
      </c>
      <c r="C72" t="s">
        <v>725</v>
      </c>
      <c r="D72" t="s">
        <v>723</v>
      </c>
      <c r="E72" t="s">
        <v>732</v>
      </c>
      <c r="F72" s="8">
        <v>45077</v>
      </c>
      <c r="G72">
        <v>1975222</v>
      </c>
    </row>
    <row r="73" spans="1:7" x14ac:dyDescent="0.3">
      <c r="A73" t="s">
        <v>538</v>
      </c>
      <c r="B73" t="s">
        <v>804</v>
      </c>
      <c r="C73" t="s">
        <v>730</v>
      </c>
      <c r="D73" t="s">
        <v>720</v>
      </c>
      <c r="E73" t="s">
        <v>732</v>
      </c>
      <c r="F73" s="8">
        <v>44813</v>
      </c>
      <c r="G73">
        <v>1618340</v>
      </c>
    </row>
    <row r="74" spans="1:7" x14ac:dyDescent="0.3">
      <c r="A74" t="s">
        <v>51</v>
      </c>
      <c r="B74" t="s">
        <v>805</v>
      </c>
      <c r="C74" t="s">
        <v>730</v>
      </c>
      <c r="D74" t="s">
        <v>737</v>
      </c>
      <c r="E74" t="s">
        <v>732</v>
      </c>
      <c r="F74" s="8">
        <v>45152</v>
      </c>
      <c r="G74">
        <v>1104492</v>
      </c>
    </row>
    <row r="75" spans="1:7" x14ac:dyDescent="0.3">
      <c r="A75" t="s">
        <v>315</v>
      </c>
      <c r="B75" t="s">
        <v>806</v>
      </c>
      <c r="C75" t="s">
        <v>719</v>
      </c>
      <c r="D75" t="s">
        <v>723</v>
      </c>
      <c r="E75" t="s">
        <v>721</v>
      </c>
      <c r="F75" s="8">
        <v>45181</v>
      </c>
      <c r="G75">
        <v>1846110</v>
      </c>
    </row>
    <row r="76" spans="1:7" x14ac:dyDescent="0.3">
      <c r="A76" t="s">
        <v>293</v>
      </c>
      <c r="B76" t="s">
        <v>807</v>
      </c>
      <c r="C76" t="s">
        <v>719</v>
      </c>
      <c r="D76" t="s">
        <v>723</v>
      </c>
      <c r="E76" t="s">
        <v>721</v>
      </c>
      <c r="F76" s="8">
        <v>44592</v>
      </c>
      <c r="G76">
        <v>1360355</v>
      </c>
    </row>
    <row r="77" spans="1:7" x14ac:dyDescent="0.3">
      <c r="A77" t="s">
        <v>808</v>
      </c>
      <c r="B77" t="s">
        <v>809</v>
      </c>
      <c r="C77" t="s">
        <v>770</v>
      </c>
      <c r="D77" t="s">
        <v>720</v>
      </c>
      <c r="E77" t="s">
        <v>721</v>
      </c>
      <c r="F77" s="8">
        <v>45417</v>
      </c>
      <c r="G77">
        <v>682799</v>
      </c>
    </row>
    <row r="78" spans="1:7" x14ac:dyDescent="0.3">
      <c r="A78" t="s">
        <v>212</v>
      </c>
      <c r="B78" t="s">
        <v>810</v>
      </c>
      <c r="C78" t="s">
        <v>728</v>
      </c>
      <c r="D78" t="s">
        <v>737</v>
      </c>
      <c r="E78" t="s">
        <v>721</v>
      </c>
      <c r="F78" s="8">
        <v>45348</v>
      </c>
      <c r="G78">
        <v>1445450</v>
      </c>
    </row>
    <row r="79" spans="1:7" x14ac:dyDescent="0.3">
      <c r="A79" t="s">
        <v>483</v>
      </c>
      <c r="B79" t="s">
        <v>811</v>
      </c>
      <c r="C79" t="s">
        <v>770</v>
      </c>
      <c r="D79" t="s">
        <v>720</v>
      </c>
      <c r="E79" t="s">
        <v>732</v>
      </c>
      <c r="F79" s="8">
        <v>45252</v>
      </c>
      <c r="G79">
        <v>1260430</v>
      </c>
    </row>
    <row r="80" spans="1:7" x14ac:dyDescent="0.3">
      <c r="A80" t="s">
        <v>455</v>
      </c>
      <c r="B80" t="s">
        <v>812</v>
      </c>
      <c r="C80" t="s">
        <v>719</v>
      </c>
      <c r="D80" t="s">
        <v>737</v>
      </c>
      <c r="E80" t="s">
        <v>721</v>
      </c>
      <c r="F80" s="8">
        <v>44567</v>
      </c>
      <c r="G80">
        <v>545643</v>
      </c>
    </row>
    <row r="81" spans="1:7" x14ac:dyDescent="0.3">
      <c r="A81" t="s">
        <v>182</v>
      </c>
      <c r="B81" t="s">
        <v>813</v>
      </c>
      <c r="C81" t="s">
        <v>742</v>
      </c>
      <c r="D81" t="s">
        <v>737</v>
      </c>
      <c r="E81" t="s">
        <v>721</v>
      </c>
      <c r="F81" s="8">
        <v>44891</v>
      </c>
      <c r="G81">
        <v>1188200</v>
      </c>
    </row>
    <row r="82" spans="1:7" x14ac:dyDescent="0.3">
      <c r="A82" t="s">
        <v>353</v>
      </c>
      <c r="B82" t="s">
        <v>814</v>
      </c>
      <c r="C82" t="s">
        <v>725</v>
      </c>
      <c r="D82" t="s">
        <v>723</v>
      </c>
      <c r="E82" t="s">
        <v>721</v>
      </c>
      <c r="F82" s="8">
        <v>45433</v>
      </c>
      <c r="G82">
        <v>1804698</v>
      </c>
    </row>
    <row r="83" spans="1:7" x14ac:dyDescent="0.3">
      <c r="A83" t="s">
        <v>328</v>
      </c>
      <c r="B83" t="s">
        <v>815</v>
      </c>
      <c r="C83" t="s">
        <v>730</v>
      </c>
      <c r="D83" t="s">
        <v>720</v>
      </c>
      <c r="E83" t="s">
        <v>726</v>
      </c>
      <c r="F83" s="8">
        <v>45083</v>
      </c>
      <c r="G83">
        <v>444362</v>
      </c>
    </row>
    <row r="84" spans="1:7" x14ac:dyDescent="0.3">
      <c r="A84" t="s">
        <v>123</v>
      </c>
      <c r="B84" t="s">
        <v>816</v>
      </c>
      <c r="C84" t="s">
        <v>770</v>
      </c>
      <c r="D84" t="s">
        <v>720</v>
      </c>
      <c r="E84" t="s">
        <v>726</v>
      </c>
      <c r="F84" s="8">
        <v>45484</v>
      </c>
      <c r="G84">
        <v>1573107</v>
      </c>
    </row>
    <row r="85" spans="1:7" x14ac:dyDescent="0.3">
      <c r="A85" t="s">
        <v>260</v>
      </c>
      <c r="B85" t="s">
        <v>817</v>
      </c>
      <c r="C85" t="s">
        <v>742</v>
      </c>
      <c r="D85" t="s">
        <v>737</v>
      </c>
      <c r="E85" t="s">
        <v>726</v>
      </c>
      <c r="F85" s="8">
        <v>45526</v>
      </c>
      <c r="G85">
        <v>783594</v>
      </c>
    </row>
    <row r="86" spans="1:7" x14ac:dyDescent="0.3">
      <c r="A86" t="s">
        <v>258</v>
      </c>
      <c r="B86" t="s">
        <v>818</v>
      </c>
      <c r="C86" t="s">
        <v>730</v>
      </c>
      <c r="D86" t="s">
        <v>737</v>
      </c>
      <c r="E86" t="s">
        <v>732</v>
      </c>
      <c r="F86" s="8">
        <v>45003</v>
      </c>
      <c r="G86">
        <v>244701</v>
      </c>
    </row>
    <row r="87" spans="1:7" x14ac:dyDescent="0.3">
      <c r="A87" t="s">
        <v>396</v>
      </c>
      <c r="B87" t="s">
        <v>819</v>
      </c>
      <c r="C87" t="s">
        <v>770</v>
      </c>
      <c r="D87" t="s">
        <v>723</v>
      </c>
      <c r="E87" t="s">
        <v>721</v>
      </c>
      <c r="F87" s="8">
        <v>45319</v>
      </c>
      <c r="G87">
        <v>286061</v>
      </c>
    </row>
    <row r="88" spans="1:7" x14ac:dyDescent="0.3">
      <c r="A88" t="s">
        <v>820</v>
      </c>
      <c r="B88" t="s">
        <v>821</v>
      </c>
      <c r="C88" t="s">
        <v>730</v>
      </c>
      <c r="D88" t="s">
        <v>737</v>
      </c>
      <c r="E88" t="s">
        <v>732</v>
      </c>
      <c r="F88" s="8">
        <v>45101</v>
      </c>
      <c r="G88">
        <v>758174</v>
      </c>
    </row>
    <row r="89" spans="1:7" x14ac:dyDescent="0.3">
      <c r="A89" t="s">
        <v>249</v>
      </c>
      <c r="B89" t="s">
        <v>822</v>
      </c>
      <c r="C89" t="s">
        <v>742</v>
      </c>
      <c r="D89" t="s">
        <v>737</v>
      </c>
      <c r="E89" t="s">
        <v>732</v>
      </c>
      <c r="F89" s="8">
        <v>45023</v>
      </c>
      <c r="G89">
        <v>1197181</v>
      </c>
    </row>
    <row r="90" spans="1:7" x14ac:dyDescent="0.3">
      <c r="A90" t="s">
        <v>38</v>
      </c>
      <c r="B90" t="s">
        <v>823</v>
      </c>
      <c r="C90" t="s">
        <v>725</v>
      </c>
      <c r="D90" t="s">
        <v>723</v>
      </c>
      <c r="E90" t="s">
        <v>721</v>
      </c>
      <c r="F90" s="8">
        <v>45386</v>
      </c>
      <c r="G90">
        <v>290152</v>
      </c>
    </row>
    <row r="91" spans="1:7" x14ac:dyDescent="0.3">
      <c r="A91" t="s">
        <v>434</v>
      </c>
      <c r="B91" t="s">
        <v>824</v>
      </c>
      <c r="C91" t="s">
        <v>770</v>
      </c>
      <c r="D91" t="s">
        <v>737</v>
      </c>
      <c r="E91" t="s">
        <v>721</v>
      </c>
      <c r="F91" s="8">
        <v>45312</v>
      </c>
      <c r="G91">
        <v>1592535</v>
      </c>
    </row>
    <row r="92" spans="1:7" x14ac:dyDescent="0.3">
      <c r="A92" t="s">
        <v>317</v>
      </c>
      <c r="B92" t="s">
        <v>825</v>
      </c>
      <c r="C92" t="s">
        <v>728</v>
      </c>
      <c r="D92" t="s">
        <v>723</v>
      </c>
      <c r="E92" t="s">
        <v>726</v>
      </c>
      <c r="F92" s="8">
        <v>44842</v>
      </c>
      <c r="G92">
        <v>1727854</v>
      </c>
    </row>
    <row r="93" spans="1:7" x14ac:dyDescent="0.3">
      <c r="A93" t="s">
        <v>216</v>
      </c>
      <c r="B93" t="s">
        <v>826</v>
      </c>
      <c r="C93" t="s">
        <v>728</v>
      </c>
      <c r="D93" t="s">
        <v>737</v>
      </c>
      <c r="E93" t="s">
        <v>732</v>
      </c>
      <c r="F93" s="8">
        <v>45359</v>
      </c>
      <c r="G93">
        <v>750234</v>
      </c>
    </row>
    <row r="94" spans="1:7" x14ac:dyDescent="0.3">
      <c r="A94" t="s">
        <v>84</v>
      </c>
      <c r="B94" t="s">
        <v>827</v>
      </c>
      <c r="C94" t="s">
        <v>719</v>
      </c>
      <c r="D94" t="s">
        <v>737</v>
      </c>
      <c r="E94" t="s">
        <v>726</v>
      </c>
      <c r="F94" s="8">
        <v>44695</v>
      </c>
      <c r="G94">
        <v>926951</v>
      </c>
    </row>
    <row r="95" spans="1:7" x14ac:dyDescent="0.3">
      <c r="A95" t="s">
        <v>36</v>
      </c>
      <c r="B95" t="s">
        <v>828</v>
      </c>
      <c r="C95" t="s">
        <v>728</v>
      </c>
      <c r="D95" t="s">
        <v>720</v>
      </c>
      <c r="E95" t="s">
        <v>726</v>
      </c>
      <c r="F95" s="8">
        <v>44794</v>
      </c>
      <c r="G95">
        <v>826874</v>
      </c>
    </row>
    <row r="96" spans="1:7" x14ac:dyDescent="0.3">
      <c r="A96" t="s">
        <v>241</v>
      </c>
      <c r="B96" t="s">
        <v>829</v>
      </c>
      <c r="C96" t="s">
        <v>742</v>
      </c>
      <c r="D96" t="s">
        <v>720</v>
      </c>
      <c r="E96" t="s">
        <v>721</v>
      </c>
      <c r="F96" s="8">
        <v>45201</v>
      </c>
      <c r="G96">
        <v>218137</v>
      </c>
    </row>
    <row r="97" spans="1:7" x14ac:dyDescent="0.3">
      <c r="A97" t="s">
        <v>88</v>
      </c>
      <c r="B97" t="s">
        <v>830</v>
      </c>
      <c r="C97" t="s">
        <v>742</v>
      </c>
      <c r="D97" t="s">
        <v>723</v>
      </c>
      <c r="E97" t="s">
        <v>726</v>
      </c>
      <c r="F97" s="8">
        <v>45491</v>
      </c>
      <c r="G97">
        <v>206167</v>
      </c>
    </row>
    <row r="98" spans="1:7" x14ac:dyDescent="0.3">
      <c r="A98" t="s">
        <v>93</v>
      </c>
      <c r="B98" t="s">
        <v>831</v>
      </c>
      <c r="C98" t="s">
        <v>719</v>
      </c>
      <c r="D98" t="s">
        <v>720</v>
      </c>
      <c r="E98" t="s">
        <v>732</v>
      </c>
      <c r="F98" s="8">
        <v>45189</v>
      </c>
      <c r="G98">
        <v>1793714</v>
      </c>
    </row>
    <row r="99" spans="1:7" x14ac:dyDescent="0.3">
      <c r="A99" t="s">
        <v>300</v>
      </c>
      <c r="B99" t="s">
        <v>832</v>
      </c>
      <c r="C99" t="s">
        <v>728</v>
      </c>
      <c r="D99" t="s">
        <v>737</v>
      </c>
      <c r="E99" t="s">
        <v>726</v>
      </c>
      <c r="F99" s="8">
        <v>45391</v>
      </c>
      <c r="G99">
        <v>969481</v>
      </c>
    </row>
    <row r="100" spans="1:7" x14ac:dyDescent="0.3">
      <c r="A100" t="s">
        <v>391</v>
      </c>
      <c r="B100" t="s">
        <v>833</v>
      </c>
      <c r="C100" t="s">
        <v>719</v>
      </c>
      <c r="D100" t="s">
        <v>737</v>
      </c>
      <c r="E100" t="s">
        <v>732</v>
      </c>
      <c r="F100" s="8">
        <v>45461</v>
      </c>
      <c r="G100">
        <v>370753</v>
      </c>
    </row>
    <row r="101" spans="1:7" x14ac:dyDescent="0.3">
      <c r="A101" t="s">
        <v>438</v>
      </c>
      <c r="B101" t="s">
        <v>834</v>
      </c>
      <c r="C101" t="s">
        <v>742</v>
      </c>
      <c r="D101" t="s">
        <v>723</v>
      </c>
      <c r="E101" t="s">
        <v>721</v>
      </c>
      <c r="F101" s="8">
        <v>44922</v>
      </c>
      <c r="G101">
        <v>1765973</v>
      </c>
    </row>
    <row r="102" spans="1:7" x14ac:dyDescent="0.3">
      <c r="A102" t="s">
        <v>247</v>
      </c>
      <c r="B102" t="s">
        <v>835</v>
      </c>
      <c r="C102" t="s">
        <v>742</v>
      </c>
      <c r="D102" t="s">
        <v>737</v>
      </c>
      <c r="E102" t="s">
        <v>721</v>
      </c>
      <c r="F102" s="8">
        <v>45048</v>
      </c>
      <c r="G102">
        <v>462171</v>
      </c>
    </row>
    <row r="103" spans="1:7" x14ac:dyDescent="0.3">
      <c r="A103" t="s">
        <v>500</v>
      </c>
      <c r="B103" t="s">
        <v>836</v>
      </c>
      <c r="C103" t="s">
        <v>730</v>
      </c>
      <c r="D103" t="s">
        <v>737</v>
      </c>
      <c r="E103" t="s">
        <v>732</v>
      </c>
      <c r="F103" s="8">
        <v>44862</v>
      </c>
      <c r="G103">
        <v>469767</v>
      </c>
    </row>
    <row r="104" spans="1:7" x14ac:dyDescent="0.3">
      <c r="A104" t="s">
        <v>224</v>
      </c>
      <c r="B104" t="s">
        <v>837</v>
      </c>
      <c r="C104" t="s">
        <v>770</v>
      </c>
      <c r="D104" t="s">
        <v>737</v>
      </c>
      <c r="E104" t="s">
        <v>726</v>
      </c>
      <c r="F104" s="8">
        <v>45007</v>
      </c>
      <c r="G104">
        <v>560511</v>
      </c>
    </row>
    <row r="105" spans="1:7" x14ac:dyDescent="0.3">
      <c r="A105" t="s">
        <v>26</v>
      </c>
      <c r="B105" t="s">
        <v>838</v>
      </c>
      <c r="C105" t="s">
        <v>728</v>
      </c>
      <c r="D105" t="s">
        <v>737</v>
      </c>
      <c r="E105" t="s">
        <v>721</v>
      </c>
      <c r="F105" s="8">
        <v>45314</v>
      </c>
      <c r="G105">
        <v>738392</v>
      </c>
    </row>
    <row r="106" spans="1:7" x14ac:dyDescent="0.3">
      <c r="A106" t="s">
        <v>839</v>
      </c>
      <c r="B106" t="s">
        <v>840</v>
      </c>
      <c r="C106" t="s">
        <v>725</v>
      </c>
      <c r="D106" t="s">
        <v>737</v>
      </c>
      <c r="E106" t="s">
        <v>732</v>
      </c>
      <c r="F106" s="8">
        <v>45291</v>
      </c>
      <c r="G106">
        <v>259144</v>
      </c>
    </row>
    <row r="107" spans="1:7" x14ac:dyDescent="0.3">
      <c r="A107" t="s">
        <v>78</v>
      </c>
      <c r="B107" t="s">
        <v>841</v>
      </c>
      <c r="C107" t="s">
        <v>742</v>
      </c>
      <c r="D107" t="s">
        <v>720</v>
      </c>
      <c r="E107" t="s">
        <v>721</v>
      </c>
      <c r="F107" s="8">
        <v>45538</v>
      </c>
      <c r="G107">
        <v>315753</v>
      </c>
    </row>
    <row r="108" spans="1:7" x14ac:dyDescent="0.3">
      <c r="A108" t="s">
        <v>73</v>
      </c>
      <c r="B108" t="s">
        <v>842</v>
      </c>
      <c r="C108" t="s">
        <v>728</v>
      </c>
      <c r="D108" t="s">
        <v>723</v>
      </c>
      <c r="E108" t="s">
        <v>732</v>
      </c>
      <c r="F108" s="8">
        <v>44735</v>
      </c>
      <c r="G108">
        <v>1220533</v>
      </c>
    </row>
    <row r="109" spans="1:7" x14ac:dyDescent="0.3">
      <c r="A109" t="s">
        <v>196</v>
      </c>
      <c r="B109" t="s">
        <v>843</v>
      </c>
      <c r="C109" t="s">
        <v>719</v>
      </c>
      <c r="D109" t="s">
        <v>720</v>
      </c>
      <c r="E109" t="s">
        <v>726</v>
      </c>
      <c r="F109" s="8">
        <v>45252</v>
      </c>
      <c r="G109">
        <v>1246143</v>
      </c>
    </row>
    <row r="110" spans="1:7" x14ac:dyDescent="0.3">
      <c r="A110" t="s">
        <v>587</v>
      </c>
      <c r="B110" t="s">
        <v>844</v>
      </c>
      <c r="C110" t="s">
        <v>725</v>
      </c>
      <c r="D110" t="s">
        <v>737</v>
      </c>
      <c r="E110" t="s">
        <v>721</v>
      </c>
      <c r="F110" s="8">
        <v>45085</v>
      </c>
      <c r="G110">
        <v>163591</v>
      </c>
    </row>
    <row r="111" spans="1:7" x14ac:dyDescent="0.3">
      <c r="A111" t="s">
        <v>845</v>
      </c>
      <c r="B111" t="s">
        <v>846</v>
      </c>
      <c r="C111" t="s">
        <v>730</v>
      </c>
      <c r="D111" t="s">
        <v>720</v>
      </c>
      <c r="E111" t="s">
        <v>721</v>
      </c>
      <c r="F111" s="8">
        <v>45506</v>
      </c>
      <c r="G111">
        <v>1622913</v>
      </c>
    </row>
    <row r="112" spans="1:7" x14ac:dyDescent="0.3">
      <c r="A112" t="s">
        <v>150</v>
      </c>
      <c r="B112" t="s">
        <v>847</v>
      </c>
      <c r="C112" t="s">
        <v>730</v>
      </c>
      <c r="D112" t="s">
        <v>720</v>
      </c>
      <c r="E112" t="s">
        <v>721</v>
      </c>
      <c r="F112" s="8">
        <v>45502</v>
      </c>
      <c r="G112">
        <v>1828229</v>
      </c>
    </row>
    <row r="113" spans="1:7" x14ac:dyDescent="0.3">
      <c r="A113" t="s">
        <v>194</v>
      </c>
      <c r="B113" t="s">
        <v>848</v>
      </c>
      <c r="C113" t="s">
        <v>728</v>
      </c>
      <c r="D113" t="s">
        <v>737</v>
      </c>
      <c r="E113" t="s">
        <v>732</v>
      </c>
      <c r="F113" s="8">
        <v>44599</v>
      </c>
      <c r="G113">
        <v>904017</v>
      </c>
    </row>
    <row r="114" spans="1:7" x14ac:dyDescent="0.3">
      <c r="A114" t="s">
        <v>119</v>
      </c>
      <c r="B114" t="s">
        <v>849</v>
      </c>
      <c r="C114" t="s">
        <v>730</v>
      </c>
      <c r="D114" t="s">
        <v>720</v>
      </c>
      <c r="E114" t="s">
        <v>732</v>
      </c>
      <c r="F114" s="8">
        <v>45029</v>
      </c>
      <c r="G114">
        <v>958995</v>
      </c>
    </row>
    <row r="115" spans="1:7" x14ac:dyDescent="0.3">
      <c r="A115" t="s">
        <v>626</v>
      </c>
      <c r="B115" t="s">
        <v>850</v>
      </c>
      <c r="C115" t="s">
        <v>728</v>
      </c>
      <c r="D115" t="s">
        <v>720</v>
      </c>
      <c r="E115" t="s">
        <v>732</v>
      </c>
      <c r="F115" s="8">
        <v>45495</v>
      </c>
      <c r="G115">
        <v>432766</v>
      </c>
    </row>
    <row r="116" spans="1:7" x14ac:dyDescent="0.3">
      <c r="A116" t="s">
        <v>399</v>
      </c>
      <c r="B116" t="s">
        <v>851</v>
      </c>
      <c r="C116" t="s">
        <v>742</v>
      </c>
      <c r="D116" t="s">
        <v>723</v>
      </c>
      <c r="E116" t="s">
        <v>732</v>
      </c>
      <c r="F116" s="8">
        <v>44716</v>
      </c>
      <c r="G116">
        <v>648924</v>
      </c>
    </row>
    <row r="117" spans="1:7" x14ac:dyDescent="0.3">
      <c r="A117" t="s">
        <v>47</v>
      </c>
      <c r="B117" t="s">
        <v>852</v>
      </c>
      <c r="C117" t="s">
        <v>742</v>
      </c>
      <c r="D117" t="s">
        <v>737</v>
      </c>
      <c r="E117" t="s">
        <v>721</v>
      </c>
      <c r="F117" s="8">
        <v>44975</v>
      </c>
      <c r="G117">
        <v>1828567</v>
      </c>
    </row>
    <row r="118" spans="1:7" x14ac:dyDescent="0.3">
      <c r="A118" t="s">
        <v>618</v>
      </c>
      <c r="B118" t="s">
        <v>853</v>
      </c>
      <c r="C118" t="s">
        <v>730</v>
      </c>
      <c r="D118" t="s">
        <v>723</v>
      </c>
      <c r="E118" t="s">
        <v>732</v>
      </c>
      <c r="F118" s="8">
        <v>44635</v>
      </c>
      <c r="G118">
        <v>1063906</v>
      </c>
    </row>
    <row r="119" spans="1:7" x14ac:dyDescent="0.3">
      <c r="A119" t="s">
        <v>190</v>
      </c>
      <c r="B119" t="s">
        <v>854</v>
      </c>
      <c r="C119" t="s">
        <v>728</v>
      </c>
      <c r="D119" t="s">
        <v>737</v>
      </c>
      <c r="E119" t="s">
        <v>732</v>
      </c>
      <c r="F119" s="8">
        <v>45444</v>
      </c>
      <c r="G119">
        <v>1453273</v>
      </c>
    </row>
    <row r="120" spans="1:7" x14ac:dyDescent="0.3">
      <c r="A120" t="s">
        <v>436</v>
      </c>
      <c r="B120" t="s">
        <v>855</v>
      </c>
      <c r="C120" t="s">
        <v>730</v>
      </c>
      <c r="D120" t="s">
        <v>723</v>
      </c>
      <c r="E120" t="s">
        <v>726</v>
      </c>
      <c r="F120" s="8">
        <v>45197</v>
      </c>
      <c r="G120">
        <v>1289902</v>
      </c>
    </row>
    <row r="121" spans="1:7" x14ac:dyDescent="0.3">
      <c r="A121" t="s">
        <v>71</v>
      </c>
      <c r="B121" t="s">
        <v>856</v>
      </c>
      <c r="C121" t="s">
        <v>725</v>
      </c>
      <c r="D121" t="s">
        <v>723</v>
      </c>
      <c r="E121" t="s">
        <v>732</v>
      </c>
      <c r="F121" s="8">
        <v>45102</v>
      </c>
      <c r="G121">
        <v>1153375</v>
      </c>
    </row>
    <row r="122" spans="1:7" x14ac:dyDescent="0.3">
      <c r="A122" t="s">
        <v>365</v>
      </c>
      <c r="B122" t="s">
        <v>857</v>
      </c>
      <c r="C122" t="s">
        <v>725</v>
      </c>
      <c r="D122" t="s">
        <v>737</v>
      </c>
      <c r="E122" t="s">
        <v>726</v>
      </c>
      <c r="F122" s="8">
        <v>45547</v>
      </c>
      <c r="G122">
        <v>262408</v>
      </c>
    </row>
    <row r="123" spans="1:7" x14ac:dyDescent="0.3">
      <c r="A123" t="s">
        <v>412</v>
      </c>
      <c r="B123" t="s">
        <v>858</v>
      </c>
      <c r="C123" t="s">
        <v>770</v>
      </c>
      <c r="D123" t="s">
        <v>737</v>
      </c>
      <c r="E123" t="s">
        <v>721</v>
      </c>
      <c r="F123" s="8">
        <v>45066</v>
      </c>
      <c r="G123">
        <v>930541</v>
      </c>
    </row>
    <row r="124" spans="1:7" x14ac:dyDescent="0.3">
      <c r="A124" t="s">
        <v>86</v>
      </c>
      <c r="B124" t="s">
        <v>859</v>
      </c>
      <c r="C124" t="s">
        <v>719</v>
      </c>
      <c r="D124" t="s">
        <v>737</v>
      </c>
      <c r="E124" t="s">
        <v>721</v>
      </c>
      <c r="F124" s="8">
        <v>45409</v>
      </c>
      <c r="G124">
        <v>1656136</v>
      </c>
    </row>
    <row r="125" spans="1:7" x14ac:dyDescent="0.3">
      <c r="A125" t="s">
        <v>69</v>
      </c>
      <c r="B125" t="s">
        <v>860</v>
      </c>
      <c r="C125" t="s">
        <v>742</v>
      </c>
      <c r="D125" t="s">
        <v>737</v>
      </c>
      <c r="E125" t="s">
        <v>721</v>
      </c>
      <c r="F125" s="8">
        <v>45394</v>
      </c>
      <c r="G125">
        <v>995713</v>
      </c>
    </row>
    <row r="126" spans="1:7" x14ac:dyDescent="0.3">
      <c r="A126" t="s">
        <v>133</v>
      </c>
      <c r="B126" t="s">
        <v>861</v>
      </c>
      <c r="C126" t="s">
        <v>742</v>
      </c>
      <c r="D126" t="s">
        <v>723</v>
      </c>
      <c r="E126" t="s">
        <v>732</v>
      </c>
      <c r="F126" s="8">
        <v>45191</v>
      </c>
      <c r="G126">
        <v>1195064</v>
      </c>
    </row>
    <row r="127" spans="1:7" x14ac:dyDescent="0.3">
      <c r="A127" t="s">
        <v>486</v>
      </c>
      <c r="B127" t="s">
        <v>862</v>
      </c>
      <c r="C127" t="s">
        <v>728</v>
      </c>
      <c r="D127" t="s">
        <v>720</v>
      </c>
      <c r="E127" t="s">
        <v>732</v>
      </c>
      <c r="F127" s="8">
        <v>45140</v>
      </c>
      <c r="G127">
        <v>613911</v>
      </c>
    </row>
    <row r="128" spans="1:7" x14ac:dyDescent="0.3">
      <c r="A128" t="s">
        <v>566</v>
      </c>
      <c r="B128" t="s">
        <v>863</v>
      </c>
      <c r="C128" t="s">
        <v>719</v>
      </c>
      <c r="D128" t="s">
        <v>723</v>
      </c>
      <c r="E128" t="s">
        <v>732</v>
      </c>
      <c r="F128" s="8">
        <v>45415</v>
      </c>
      <c r="G128">
        <v>686421</v>
      </c>
    </row>
    <row r="129" spans="1:7" x14ac:dyDescent="0.3">
      <c r="A129" t="s">
        <v>65</v>
      </c>
      <c r="B129" t="s">
        <v>864</v>
      </c>
      <c r="C129" t="s">
        <v>719</v>
      </c>
      <c r="D129" t="s">
        <v>737</v>
      </c>
      <c r="E129" t="s">
        <v>726</v>
      </c>
      <c r="F129" s="8">
        <v>44942</v>
      </c>
      <c r="G129">
        <v>1732520</v>
      </c>
    </row>
    <row r="130" spans="1:7" x14ac:dyDescent="0.3">
      <c r="A130" t="s">
        <v>178</v>
      </c>
      <c r="B130" t="s">
        <v>865</v>
      </c>
      <c r="C130" t="s">
        <v>719</v>
      </c>
      <c r="D130" t="s">
        <v>737</v>
      </c>
      <c r="E130" t="s">
        <v>726</v>
      </c>
      <c r="F130" s="8">
        <v>45193</v>
      </c>
      <c r="G130">
        <v>1410660</v>
      </c>
    </row>
    <row r="131" spans="1:7" x14ac:dyDescent="0.3">
      <c r="A131" t="s">
        <v>139</v>
      </c>
      <c r="B131" t="s">
        <v>866</v>
      </c>
      <c r="C131" t="s">
        <v>742</v>
      </c>
      <c r="D131" t="s">
        <v>720</v>
      </c>
      <c r="E131" t="s">
        <v>726</v>
      </c>
      <c r="F131" s="8">
        <v>45123</v>
      </c>
      <c r="G131">
        <v>259065</v>
      </c>
    </row>
    <row r="132" spans="1:7" x14ac:dyDescent="0.3">
      <c r="A132" t="s">
        <v>355</v>
      </c>
      <c r="B132" t="s">
        <v>867</v>
      </c>
      <c r="C132" t="s">
        <v>730</v>
      </c>
      <c r="D132" t="s">
        <v>723</v>
      </c>
      <c r="E132" t="s">
        <v>726</v>
      </c>
      <c r="F132" s="8">
        <v>45496</v>
      </c>
      <c r="G132">
        <v>758406</v>
      </c>
    </row>
    <row r="133" spans="1:7" x14ac:dyDescent="0.3">
      <c r="A133" t="s">
        <v>345</v>
      </c>
      <c r="B133" t="s">
        <v>868</v>
      </c>
      <c r="C133" t="s">
        <v>742</v>
      </c>
      <c r="D133" t="s">
        <v>720</v>
      </c>
      <c r="E133" t="s">
        <v>732</v>
      </c>
      <c r="F133" s="8">
        <v>45033</v>
      </c>
      <c r="G133">
        <v>1072273</v>
      </c>
    </row>
    <row r="134" spans="1:7" x14ac:dyDescent="0.3">
      <c r="A134" t="s">
        <v>284</v>
      </c>
      <c r="B134" t="s">
        <v>869</v>
      </c>
      <c r="C134" t="s">
        <v>742</v>
      </c>
      <c r="D134" t="s">
        <v>723</v>
      </c>
      <c r="E134" t="s">
        <v>726</v>
      </c>
      <c r="F134" s="8">
        <v>45423</v>
      </c>
      <c r="G134">
        <v>418028</v>
      </c>
    </row>
    <row r="135" spans="1:7" x14ac:dyDescent="0.3">
      <c r="A135" t="s">
        <v>135</v>
      </c>
      <c r="B135" t="s">
        <v>870</v>
      </c>
      <c r="C135" t="s">
        <v>730</v>
      </c>
      <c r="D135" t="s">
        <v>720</v>
      </c>
      <c r="E135" t="s">
        <v>732</v>
      </c>
      <c r="F135" s="8">
        <v>45171</v>
      </c>
      <c r="G135">
        <v>341449</v>
      </c>
    </row>
    <row r="136" spans="1:7" x14ac:dyDescent="0.3">
      <c r="A136" t="s">
        <v>306</v>
      </c>
      <c r="B136" t="s">
        <v>871</v>
      </c>
      <c r="C136" t="s">
        <v>770</v>
      </c>
      <c r="D136" t="s">
        <v>723</v>
      </c>
      <c r="E136" t="s">
        <v>732</v>
      </c>
      <c r="F136" s="8">
        <v>45065</v>
      </c>
      <c r="G136">
        <v>1407020</v>
      </c>
    </row>
    <row r="137" spans="1:7" x14ac:dyDescent="0.3">
      <c r="A137" t="s">
        <v>332</v>
      </c>
      <c r="B137" t="s">
        <v>872</v>
      </c>
      <c r="C137" t="s">
        <v>719</v>
      </c>
      <c r="D137" t="s">
        <v>723</v>
      </c>
      <c r="E137" t="s">
        <v>732</v>
      </c>
      <c r="F137" s="8">
        <v>44794</v>
      </c>
      <c r="G137">
        <v>1029104</v>
      </c>
    </row>
    <row r="138" spans="1:7" x14ac:dyDescent="0.3">
      <c r="A138" t="s">
        <v>229</v>
      </c>
      <c r="B138" t="s">
        <v>873</v>
      </c>
      <c r="C138" t="s">
        <v>730</v>
      </c>
      <c r="D138" t="s">
        <v>723</v>
      </c>
      <c r="E138" t="s">
        <v>732</v>
      </c>
      <c r="F138" s="8">
        <v>44880</v>
      </c>
      <c r="G138">
        <v>1654740</v>
      </c>
    </row>
    <row r="139" spans="1:7" x14ac:dyDescent="0.3">
      <c r="A139" t="s">
        <v>451</v>
      </c>
      <c r="B139" t="s">
        <v>874</v>
      </c>
      <c r="C139" t="s">
        <v>719</v>
      </c>
      <c r="D139" t="s">
        <v>720</v>
      </c>
      <c r="E139" t="s">
        <v>732</v>
      </c>
      <c r="F139" s="8">
        <v>45431</v>
      </c>
      <c r="G139">
        <v>782702</v>
      </c>
    </row>
    <row r="140" spans="1:7" x14ac:dyDescent="0.3">
      <c r="A140" t="s">
        <v>267</v>
      </c>
      <c r="B140" t="s">
        <v>875</v>
      </c>
      <c r="C140" t="s">
        <v>730</v>
      </c>
      <c r="D140" t="s">
        <v>720</v>
      </c>
      <c r="E140" t="s">
        <v>721</v>
      </c>
      <c r="F140" s="8">
        <v>45231</v>
      </c>
      <c r="G140">
        <v>1028225</v>
      </c>
    </row>
    <row r="141" spans="1:7" x14ac:dyDescent="0.3">
      <c r="A141" t="s">
        <v>604</v>
      </c>
      <c r="B141" t="s">
        <v>876</v>
      </c>
      <c r="C141" t="s">
        <v>725</v>
      </c>
      <c r="D141" t="s">
        <v>720</v>
      </c>
      <c r="E141" t="s">
        <v>732</v>
      </c>
      <c r="F141" s="8">
        <v>44895</v>
      </c>
      <c r="G141">
        <v>636422</v>
      </c>
    </row>
    <row r="142" spans="1:7" x14ac:dyDescent="0.3">
      <c r="A142" t="s">
        <v>129</v>
      </c>
      <c r="B142" t="s">
        <v>877</v>
      </c>
      <c r="C142" t="s">
        <v>742</v>
      </c>
      <c r="D142" t="s">
        <v>737</v>
      </c>
      <c r="E142" t="s">
        <v>732</v>
      </c>
      <c r="F142" s="8">
        <v>45193</v>
      </c>
      <c r="G142">
        <v>1226902</v>
      </c>
    </row>
    <row r="143" spans="1:7" x14ac:dyDescent="0.3">
      <c r="A143" t="s">
        <v>280</v>
      </c>
      <c r="B143" t="s">
        <v>878</v>
      </c>
      <c r="C143" t="s">
        <v>742</v>
      </c>
      <c r="D143" t="s">
        <v>737</v>
      </c>
      <c r="E143" t="s">
        <v>721</v>
      </c>
      <c r="F143" s="8">
        <v>44645</v>
      </c>
      <c r="G143">
        <v>1671127</v>
      </c>
    </row>
    <row r="144" spans="1:7" x14ac:dyDescent="0.3">
      <c r="A144" t="s">
        <v>525</v>
      </c>
      <c r="B144" t="s">
        <v>879</v>
      </c>
      <c r="C144" t="s">
        <v>770</v>
      </c>
      <c r="D144" t="s">
        <v>737</v>
      </c>
      <c r="E144" t="s">
        <v>732</v>
      </c>
      <c r="F144" s="8">
        <v>45544</v>
      </c>
      <c r="G144">
        <v>1945100</v>
      </c>
    </row>
    <row r="145" spans="1:7" x14ac:dyDescent="0.3">
      <c r="A145" t="s">
        <v>91</v>
      </c>
      <c r="B145" t="s">
        <v>880</v>
      </c>
      <c r="C145" t="s">
        <v>719</v>
      </c>
      <c r="D145" t="s">
        <v>737</v>
      </c>
      <c r="E145" t="s">
        <v>726</v>
      </c>
      <c r="F145" s="8">
        <v>44841</v>
      </c>
      <c r="G145">
        <v>1230828</v>
      </c>
    </row>
    <row r="146" spans="1:7" x14ac:dyDescent="0.3">
      <c r="A146" t="s">
        <v>144</v>
      </c>
      <c r="B146" t="s">
        <v>881</v>
      </c>
      <c r="C146" t="s">
        <v>728</v>
      </c>
      <c r="D146" t="s">
        <v>723</v>
      </c>
      <c r="E146" t="s">
        <v>726</v>
      </c>
      <c r="F146" s="8">
        <v>45212</v>
      </c>
      <c r="G146">
        <v>614367</v>
      </c>
    </row>
    <row r="147" spans="1:7" x14ac:dyDescent="0.3">
      <c r="A147" t="s">
        <v>125</v>
      </c>
      <c r="B147" t="s">
        <v>882</v>
      </c>
      <c r="C147" t="s">
        <v>719</v>
      </c>
      <c r="D147" t="s">
        <v>723</v>
      </c>
      <c r="E147" t="s">
        <v>726</v>
      </c>
      <c r="F147" s="8">
        <v>45017</v>
      </c>
      <c r="G147">
        <v>1760409</v>
      </c>
    </row>
    <row r="148" spans="1:7" x14ac:dyDescent="0.3">
      <c r="A148" t="s">
        <v>416</v>
      </c>
      <c r="B148" t="s">
        <v>883</v>
      </c>
      <c r="C148" t="s">
        <v>730</v>
      </c>
      <c r="D148" t="s">
        <v>737</v>
      </c>
      <c r="E148" t="s">
        <v>726</v>
      </c>
      <c r="F148" s="8">
        <v>45104</v>
      </c>
      <c r="G148">
        <v>1091850</v>
      </c>
    </row>
    <row r="149" spans="1:7" x14ac:dyDescent="0.3">
      <c r="A149" t="s">
        <v>302</v>
      </c>
      <c r="B149" t="s">
        <v>884</v>
      </c>
      <c r="C149" t="s">
        <v>742</v>
      </c>
      <c r="D149" t="s">
        <v>720</v>
      </c>
      <c r="E149" t="s">
        <v>732</v>
      </c>
      <c r="F149" s="8">
        <v>44926</v>
      </c>
      <c r="G149">
        <v>1833549</v>
      </c>
    </row>
    <row r="150" spans="1:7" x14ac:dyDescent="0.3">
      <c r="A150" t="s">
        <v>380</v>
      </c>
      <c r="B150" t="s">
        <v>885</v>
      </c>
      <c r="C150" t="s">
        <v>770</v>
      </c>
      <c r="D150" t="s">
        <v>723</v>
      </c>
      <c r="E150" t="s">
        <v>732</v>
      </c>
      <c r="F150" s="8">
        <v>45434</v>
      </c>
      <c r="G150">
        <v>1077731</v>
      </c>
    </row>
    <row r="151" spans="1:7" x14ac:dyDescent="0.3">
      <c r="A151" t="s">
        <v>53</v>
      </c>
      <c r="B151" t="s">
        <v>886</v>
      </c>
      <c r="C151" t="s">
        <v>730</v>
      </c>
      <c r="D151" t="s">
        <v>723</v>
      </c>
      <c r="E151" t="s">
        <v>732</v>
      </c>
      <c r="F151" s="8">
        <v>44852</v>
      </c>
      <c r="G151">
        <v>1266185</v>
      </c>
    </row>
    <row r="152" spans="1:7" x14ac:dyDescent="0.3">
      <c r="A152" t="s">
        <v>558</v>
      </c>
      <c r="B152" t="s">
        <v>887</v>
      </c>
      <c r="C152" t="s">
        <v>719</v>
      </c>
      <c r="D152" t="s">
        <v>737</v>
      </c>
      <c r="E152" t="s">
        <v>726</v>
      </c>
      <c r="F152" s="8">
        <v>44599</v>
      </c>
      <c r="G152">
        <v>1307793</v>
      </c>
    </row>
    <row r="153" spans="1:7" x14ac:dyDescent="0.3">
      <c r="A153" t="s">
        <v>597</v>
      </c>
      <c r="B153" t="s">
        <v>888</v>
      </c>
      <c r="C153" t="s">
        <v>770</v>
      </c>
      <c r="D153" t="s">
        <v>737</v>
      </c>
      <c r="E153" t="s">
        <v>721</v>
      </c>
      <c r="F153" s="8">
        <v>45173</v>
      </c>
      <c r="G153">
        <v>1824002</v>
      </c>
    </row>
    <row r="154" spans="1:7" x14ac:dyDescent="0.3">
      <c r="A154" t="s">
        <v>114</v>
      </c>
      <c r="B154" t="s">
        <v>889</v>
      </c>
      <c r="C154" t="s">
        <v>730</v>
      </c>
      <c r="D154" t="s">
        <v>720</v>
      </c>
      <c r="E154" t="s">
        <v>732</v>
      </c>
      <c r="F154" s="8">
        <v>45303</v>
      </c>
      <c r="G154">
        <v>1215326</v>
      </c>
    </row>
    <row r="155" spans="1:7" x14ac:dyDescent="0.3">
      <c r="A155" t="s">
        <v>252</v>
      </c>
      <c r="B155" t="s">
        <v>890</v>
      </c>
      <c r="C155" t="s">
        <v>742</v>
      </c>
      <c r="D155" t="s">
        <v>720</v>
      </c>
      <c r="E155" t="s">
        <v>726</v>
      </c>
      <c r="F155" s="8">
        <v>44827</v>
      </c>
      <c r="G155">
        <v>1646805</v>
      </c>
    </row>
    <row r="156" spans="1:7" x14ac:dyDescent="0.3">
      <c r="A156" t="s">
        <v>169</v>
      </c>
      <c r="B156" t="s">
        <v>891</v>
      </c>
      <c r="C156" t="s">
        <v>770</v>
      </c>
      <c r="D156" t="s">
        <v>723</v>
      </c>
      <c r="E156" t="s">
        <v>732</v>
      </c>
      <c r="F156" s="8">
        <v>45429</v>
      </c>
      <c r="G156">
        <v>1172998</v>
      </c>
    </row>
    <row r="157" spans="1:7" x14ac:dyDescent="0.3">
      <c r="A157" t="s">
        <v>574</v>
      </c>
      <c r="B157" t="s">
        <v>892</v>
      </c>
      <c r="C157" t="s">
        <v>742</v>
      </c>
      <c r="D157" t="s">
        <v>720</v>
      </c>
      <c r="E157" t="s">
        <v>726</v>
      </c>
      <c r="F157" s="8">
        <v>45472</v>
      </c>
      <c r="G157">
        <v>1196601</v>
      </c>
    </row>
    <row r="158" spans="1:7" x14ac:dyDescent="0.3">
      <c r="A158" t="s">
        <v>59</v>
      </c>
      <c r="B158" t="s">
        <v>893</v>
      </c>
      <c r="C158" t="s">
        <v>725</v>
      </c>
      <c r="D158" t="s">
        <v>720</v>
      </c>
      <c r="E158" t="s">
        <v>726</v>
      </c>
      <c r="F158" s="8">
        <v>44719</v>
      </c>
      <c r="G158">
        <v>293697</v>
      </c>
    </row>
    <row r="159" spans="1:7" x14ac:dyDescent="0.3">
      <c r="A159" t="s">
        <v>232</v>
      </c>
      <c r="B159" t="s">
        <v>894</v>
      </c>
      <c r="C159" t="s">
        <v>728</v>
      </c>
      <c r="D159" t="s">
        <v>720</v>
      </c>
      <c r="E159" t="s">
        <v>726</v>
      </c>
      <c r="F159" s="8">
        <v>45289</v>
      </c>
      <c r="G159">
        <v>543233</v>
      </c>
    </row>
    <row r="160" spans="1:7" x14ac:dyDescent="0.3">
      <c r="A160" t="s">
        <v>342</v>
      </c>
      <c r="B160" t="s">
        <v>895</v>
      </c>
      <c r="C160" t="s">
        <v>725</v>
      </c>
      <c r="D160" t="s">
        <v>723</v>
      </c>
      <c r="E160" t="s">
        <v>721</v>
      </c>
      <c r="F160" s="8">
        <v>45018</v>
      </c>
      <c r="G160">
        <v>892289</v>
      </c>
    </row>
    <row r="161" spans="1:7" x14ac:dyDescent="0.3">
      <c r="A161" t="s">
        <v>198</v>
      </c>
      <c r="B161" t="s">
        <v>896</v>
      </c>
      <c r="C161" t="s">
        <v>719</v>
      </c>
      <c r="D161" t="s">
        <v>737</v>
      </c>
      <c r="E161" t="s">
        <v>721</v>
      </c>
      <c r="F161" s="8">
        <v>44897</v>
      </c>
      <c r="G161">
        <v>123076</v>
      </c>
    </row>
    <row r="162" spans="1:7" x14ac:dyDescent="0.3">
      <c r="A162" t="s">
        <v>469</v>
      </c>
      <c r="B162" t="s">
        <v>897</v>
      </c>
      <c r="C162" t="s">
        <v>719</v>
      </c>
      <c r="D162" t="s">
        <v>720</v>
      </c>
      <c r="E162" t="s">
        <v>721</v>
      </c>
      <c r="F162" s="8">
        <v>44926</v>
      </c>
      <c r="G162">
        <v>1086448</v>
      </c>
    </row>
    <row r="163" spans="1:7" x14ac:dyDescent="0.3">
      <c r="A163" t="s">
        <v>424</v>
      </c>
      <c r="B163" t="s">
        <v>898</v>
      </c>
      <c r="C163" t="s">
        <v>725</v>
      </c>
      <c r="D163" t="s">
        <v>723</v>
      </c>
      <c r="E163" t="s">
        <v>721</v>
      </c>
      <c r="F163" s="8">
        <v>45336</v>
      </c>
      <c r="G163">
        <v>1006304</v>
      </c>
    </row>
    <row r="164" spans="1:7" x14ac:dyDescent="0.3">
      <c r="A164" t="s">
        <v>82</v>
      </c>
      <c r="B164" t="s">
        <v>899</v>
      </c>
      <c r="C164" t="s">
        <v>725</v>
      </c>
      <c r="D164" t="s">
        <v>720</v>
      </c>
      <c r="E164" t="s">
        <v>732</v>
      </c>
      <c r="F164" s="8">
        <v>45076</v>
      </c>
      <c r="G164">
        <v>1543168</v>
      </c>
    </row>
    <row r="165" spans="1:7" x14ac:dyDescent="0.3">
      <c r="A165" t="s">
        <v>245</v>
      </c>
      <c r="B165" t="s">
        <v>900</v>
      </c>
      <c r="C165" t="s">
        <v>770</v>
      </c>
      <c r="D165" t="s">
        <v>720</v>
      </c>
      <c r="E165" t="s">
        <v>721</v>
      </c>
      <c r="F165" s="8">
        <v>45109</v>
      </c>
      <c r="G165">
        <v>1296032</v>
      </c>
    </row>
    <row r="166" spans="1:7" x14ac:dyDescent="0.3">
      <c r="A166" t="s">
        <v>161</v>
      </c>
      <c r="B166" t="s">
        <v>901</v>
      </c>
      <c r="C166" t="s">
        <v>728</v>
      </c>
      <c r="D166" t="s">
        <v>737</v>
      </c>
      <c r="E166" t="s">
        <v>726</v>
      </c>
      <c r="F166" s="8">
        <v>45117</v>
      </c>
      <c r="G166">
        <v>1203137</v>
      </c>
    </row>
    <row r="167" spans="1:7" x14ac:dyDescent="0.3">
      <c r="A167" t="s">
        <v>24</v>
      </c>
      <c r="B167" t="s">
        <v>902</v>
      </c>
      <c r="C167" t="s">
        <v>725</v>
      </c>
      <c r="D167" t="s">
        <v>737</v>
      </c>
      <c r="E167" t="s">
        <v>721</v>
      </c>
      <c r="F167" s="8">
        <v>44862</v>
      </c>
      <c r="G167">
        <v>154651</v>
      </c>
    </row>
    <row r="168" spans="1:7" x14ac:dyDescent="0.3">
      <c r="A168" t="s">
        <v>61</v>
      </c>
      <c r="B168" t="s">
        <v>903</v>
      </c>
      <c r="C168" t="s">
        <v>725</v>
      </c>
      <c r="D168" t="s">
        <v>737</v>
      </c>
      <c r="E168" t="s">
        <v>732</v>
      </c>
      <c r="F168" s="8">
        <v>44848</v>
      </c>
      <c r="G168">
        <v>1976065</v>
      </c>
    </row>
    <row r="169" spans="1:7" x14ac:dyDescent="0.3">
      <c r="A169" t="s">
        <v>460</v>
      </c>
      <c r="B169" t="s">
        <v>904</v>
      </c>
      <c r="C169" t="s">
        <v>728</v>
      </c>
      <c r="D169" t="s">
        <v>720</v>
      </c>
      <c r="E169" t="s">
        <v>721</v>
      </c>
      <c r="F169" s="8">
        <v>45502</v>
      </c>
      <c r="G169">
        <v>1227851</v>
      </c>
    </row>
    <row r="170" spans="1:7" x14ac:dyDescent="0.3">
      <c r="A170" t="s">
        <v>80</v>
      </c>
      <c r="B170" t="s">
        <v>905</v>
      </c>
      <c r="C170" t="s">
        <v>725</v>
      </c>
      <c r="D170" t="s">
        <v>737</v>
      </c>
      <c r="E170" t="s">
        <v>721</v>
      </c>
      <c r="F170" s="8">
        <v>44850</v>
      </c>
      <c r="G170">
        <v>1661378</v>
      </c>
    </row>
    <row r="171" spans="1:7" x14ac:dyDescent="0.3">
      <c r="A171" t="s">
        <v>462</v>
      </c>
      <c r="B171" t="s">
        <v>906</v>
      </c>
      <c r="C171" t="s">
        <v>725</v>
      </c>
      <c r="D171" t="s">
        <v>723</v>
      </c>
      <c r="E171" t="s">
        <v>721</v>
      </c>
      <c r="F171" s="8">
        <v>45215</v>
      </c>
      <c r="G171">
        <v>884892</v>
      </c>
    </row>
    <row r="172" spans="1:7" x14ac:dyDescent="0.3">
      <c r="A172" t="s">
        <v>290</v>
      </c>
      <c r="B172" t="s">
        <v>907</v>
      </c>
      <c r="C172" t="s">
        <v>742</v>
      </c>
      <c r="D172" t="s">
        <v>723</v>
      </c>
      <c r="E172" t="s">
        <v>732</v>
      </c>
      <c r="F172" s="8">
        <v>44581</v>
      </c>
      <c r="G172">
        <v>934233</v>
      </c>
    </row>
    <row r="173" spans="1:7" x14ac:dyDescent="0.3">
      <c r="A173" t="s">
        <v>330</v>
      </c>
      <c r="B173" t="s">
        <v>908</v>
      </c>
      <c r="C173" t="s">
        <v>719</v>
      </c>
      <c r="D173" t="s">
        <v>720</v>
      </c>
      <c r="E173" t="s">
        <v>721</v>
      </c>
      <c r="F173" s="8">
        <v>44697</v>
      </c>
      <c r="G173">
        <v>1259623</v>
      </c>
    </row>
    <row r="174" spans="1:7" x14ac:dyDescent="0.3">
      <c r="A174" t="s">
        <v>696</v>
      </c>
      <c r="B174" t="s">
        <v>909</v>
      </c>
      <c r="C174" t="s">
        <v>770</v>
      </c>
      <c r="D174" t="s">
        <v>723</v>
      </c>
      <c r="E174" t="s">
        <v>721</v>
      </c>
      <c r="F174" s="8">
        <v>44849</v>
      </c>
      <c r="G174">
        <v>1230358</v>
      </c>
    </row>
    <row r="175" spans="1:7" x14ac:dyDescent="0.3">
      <c r="A175" t="s">
        <v>14</v>
      </c>
      <c r="B175" t="s">
        <v>910</v>
      </c>
      <c r="C175" t="s">
        <v>770</v>
      </c>
      <c r="D175" t="s">
        <v>720</v>
      </c>
      <c r="E175" t="s">
        <v>721</v>
      </c>
      <c r="F175" s="8">
        <v>44628</v>
      </c>
      <c r="G175">
        <v>1738885</v>
      </c>
    </row>
    <row r="176" spans="1:7" x14ac:dyDescent="0.3">
      <c r="A176" t="s">
        <v>517</v>
      </c>
      <c r="B176" t="s">
        <v>911</v>
      </c>
      <c r="C176" t="s">
        <v>719</v>
      </c>
      <c r="D176" t="s">
        <v>720</v>
      </c>
      <c r="E176" t="s">
        <v>721</v>
      </c>
      <c r="F176" s="8">
        <v>44768</v>
      </c>
      <c r="G176">
        <v>1475858</v>
      </c>
    </row>
    <row r="177" spans="1:7" x14ac:dyDescent="0.3">
      <c r="A177" t="s">
        <v>912</v>
      </c>
      <c r="B177" t="s">
        <v>913</v>
      </c>
      <c r="C177" t="s">
        <v>725</v>
      </c>
      <c r="D177" t="s">
        <v>723</v>
      </c>
      <c r="E177" t="s">
        <v>726</v>
      </c>
      <c r="F177" s="8">
        <v>45238</v>
      </c>
      <c r="G177">
        <v>653756</v>
      </c>
    </row>
    <row r="178" spans="1:7" x14ac:dyDescent="0.3">
      <c r="A178" t="s">
        <v>322</v>
      </c>
      <c r="B178" t="s">
        <v>914</v>
      </c>
      <c r="C178" t="s">
        <v>730</v>
      </c>
      <c r="D178" t="s">
        <v>737</v>
      </c>
      <c r="E178" t="s">
        <v>721</v>
      </c>
      <c r="F178" s="8">
        <v>45425</v>
      </c>
      <c r="G178">
        <v>445820</v>
      </c>
    </row>
    <row r="179" spans="1:7" x14ac:dyDescent="0.3">
      <c r="A179" t="s">
        <v>389</v>
      </c>
      <c r="B179" t="s">
        <v>915</v>
      </c>
      <c r="C179" t="s">
        <v>725</v>
      </c>
      <c r="D179" t="s">
        <v>720</v>
      </c>
      <c r="E179" t="s">
        <v>732</v>
      </c>
      <c r="F179" s="8">
        <v>44718</v>
      </c>
      <c r="G179">
        <v>1302590</v>
      </c>
    </row>
    <row r="180" spans="1:7" x14ac:dyDescent="0.3">
      <c r="A180" t="s">
        <v>49</v>
      </c>
      <c r="B180" t="s">
        <v>916</v>
      </c>
      <c r="C180" t="s">
        <v>742</v>
      </c>
      <c r="D180" t="s">
        <v>723</v>
      </c>
      <c r="E180" t="s">
        <v>726</v>
      </c>
      <c r="F180" s="8">
        <v>44622</v>
      </c>
      <c r="G180">
        <v>538852</v>
      </c>
    </row>
    <row r="181" spans="1:7" x14ac:dyDescent="0.3">
      <c r="A181" t="s">
        <v>19</v>
      </c>
      <c r="B181" t="s">
        <v>917</v>
      </c>
      <c r="C181" t="s">
        <v>728</v>
      </c>
      <c r="D181" t="s">
        <v>723</v>
      </c>
      <c r="E181" t="s">
        <v>721</v>
      </c>
      <c r="F181" s="8">
        <v>44930</v>
      </c>
      <c r="G181">
        <v>1157730</v>
      </c>
    </row>
    <row r="182" spans="1:7" x14ac:dyDescent="0.3">
      <c r="A182" t="s">
        <v>41</v>
      </c>
      <c r="B182" t="s">
        <v>918</v>
      </c>
      <c r="C182" t="s">
        <v>719</v>
      </c>
      <c r="D182" t="s">
        <v>737</v>
      </c>
      <c r="E182" t="s">
        <v>721</v>
      </c>
      <c r="F182" s="8">
        <v>44710</v>
      </c>
      <c r="G182">
        <v>1622768</v>
      </c>
    </row>
    <row r="183" spans="1:7" x14ac:dyDescent="0.3">
      <c r="A183" t="s">
        <v>30</v>
      </c>
      <c r="B183" t="s">
        <v>919</v>
      </c>
      <c r="C183" t="s">
        <v>719</v>
      </c>
      <c r="D183" t="s">
        <v>737</v>
      </c>
      <c r="E183" t="s">
        <v>721</v>
      </c>
      <c r="F183" s="8">
        <v>45527</v>
      </c>
      <c r="G183">
        <v>586777</v>
      </c>
    </row>
    <row r="184" spans="1:7" x14ac:dyDescent="0.3">
      <c r="A184" t="s">
        <v>920</v>
      </c>
      <c r="B184" t="s">
        <v>921</v>
      </c>
      <c r="C184" t="s">
        <v>742</v>
      </c>
      <c r="D184" t="s">
        <v>737</v>
      </c>
      <c r="E184" t="s">
        <v>721</v>
      </c>
      <c r="F184" s="8">
        <v>45500</v>
      </c>
      <c r="G184">
        <v>974351</v>
      </c>
    </row>
    <row r="185" spans="1:7" x14ac:dyDescent="0.3">
      <c r="A185" t="s">
        <v>464</v>
      </c>
      <c r="B185" t="s">
        <v>922</v>
      </c>
      <c r="C185" t="s">
        <v>730</v>
      </c>
      <c r="D185" t="s">
        <v>723</v>
      </c>
      <c r="E185" t="s">
        <v>721</v>
      </c>
      <c r="F185" s="8">
        <v>44903</v>
      </c>
      <c r="G185">
        <v>417229</v>
      </c>
    </row>
    <row r="186" spans="1:7" x14ac:dyDescent="0.3">
      <c r="A186" t="s">
        <v>384</v>
      </c>
      <c r="B186" t="s">
        <v>923</v>
      </c>
      <c r="C186" t="s">
        <v>730</v>
      </c>
      <c r="D186" t="s">
        <v>723</v>
      </c>
      <c r="E186" t="s">
        <v>732</v>
      </c>
      <c r="F186" s="8">
        <v>44934</v>
      </c>
      <c r="G186">
        <v>1970868</v>
      </c>
    </row>
    <row r="187" spans="1:7" x14ac:dyDescent="0.3">
      <c r="A187" t="s">
        <v>210</v>
      </c>
      <c r="B187" t="s">
        <v>924</v>
      </c>
      <c r="C187" t="s">
        <v>770</v>
      </c>
      <c r="D187" t="s">
        <v>723</v>
      </c>
      <c r="E187" t="s">
        <v>721</v>
      </c>
      <c r="F187" s="8">
        <v>45460</v>
      </c>
      <c r="G187">
        <v>818464</v>
      </c>
    </row>
    <row r="188" spans="1:7" x14ac:dyDescent="0.3">
      <c r="A188" t="s">
        <v>112</v>
      </c>
      <c r="B188" t="s">
        <v>925</v>
      </c>
      <c r="C188" t="s">
        <v>742</v>
      </c>
      <c r="D188" t="s">
        <v>723</v>
      </c>
      <c r="E188" t="s">
        <v>721</v>
      </c>
      <c r="F188" s="8">
        <v>45508</v>
      </c>
      <c r="G188">
        <v>1950231</v>
      </c>
    </row>
    <row r="189" spans="1:7" x14ac:dyDescent="0.3">
      <c r="A189" t="s">
        <v>511</v>
      </c>
      <c r="B189" t="s">
        <v>926</v>
      </c>
      <c r="C189" t="s">
        <v>728</v>
      </c>
      <c r="D189" t="s">
        <v>737</v>
      </c>
      <c r="E189" t="s">
        <v>732</v>
      </c>
      <c r="F189" s="8">
        <v>45248</v>
      </c>
      <c r="G189">
        <v>1814175</v>
      </c>
    </row>
    <row r="190" spans="1:7" x14ac:dyDescent="0.3">
      <c r="A190" t="s">
        <v>927</v>
      </c>
      <c r="B190" t="s">
        <v>928</v>
      </c>
      <c r="C190" t="s">
        <v>742</v>
      </c>
      <c r="D190" t="s">
        <v>723</v>
      </c>
      <c r="E190" t="s">
        <v>732</v>
      </c>
      <c r="F190" s="8">
        <v>45358</v>
      </c>
      <c r="G190">
        <v>1497988</v>
      </c>
    </row>
    <row r="191" spans="1:7" x14ac:dyDescent="0.3">
      <c r="A191" t="s">
        <v>699</v>
      </c>
      <c r="B191" t="s">
        <v>929</v>
      </c>
      <c r="C191" t="s">
        <v>728</v>
      </c>
      <c r="D191" t="s">
        <v>720</v>
      </c>
      <c r="E191" t="s">
        <v>721</v>
      </c>
      <c r="F191" s="8">
        <v>45380</v>
      </c>
      <c r="G191">
        <v>1553866</v>
      </c>
    </row>
    <row r="192" spans="1:7" x14ac:dyDescent="0.3">
      <c r="A192" t="s">
        <v>310</v>
      </c>
      <c r="B192" t="s">
        <v>930</v>
      </c>
      <c r="C192" t="s">
        <v>730</v>
      </c>
      <c r="D192" t="s">
        <v>720</v>
      </c>
      <c r="E192" t="s">
        <v>726</v>
      </c>
      <c r="F192" s="8">
        <v>44822</v>
      </c>
      <c r="G192">
        <v>1890256</v>
      </c>
    </row>
    <row r="193" spans="1:7" x14ac:dyDescent="0.3">
      <c r="A193" t="s">
        <v>117</v>
      </c>
      <c r="B193" t="s">
        <v>931</v>
      </c>
      <c r="C193" t="s">
        <v>770</v>
      </c>
      <c r="D193" t="s">
        <v>737</v>
      </c>
      <c r="E193" t="s">
        <v>721</v>
      </c>
      <c r="F193" s="8">
        <v>44839</v>
      </c>
      <c r="G193">
        <v>1339700</v>
      </c>
    </row>
    <row r="194" spans="1:7" x14ac:dyDescent="0.3">
      <c r="A194" t="s">
        <v>256</v>
      </c>
      <c r="B194" t="s">
        <v>932</v>
      </c>
      <c r="C194" t="s">
        <v>728</v>
      </c>
      <c r="D194" t="s">
        <v>720</v>
      </c>
      <c r="E194" t="s">
        <v>721</v>
      </c>
      <c r="F194" s="8">
        <v>44987</v>
      </c>
      <c r="G194">
        <v>1313233</v>
      </c>
    </row>
    <row r="195" spans="1:7" x14ac:dyDescent="0.3">
      <c r="A195" t="s">
        <v>349</v>
      </c>
      <c r="B195" t="s">
        <v>933</v>
      </c>
      <c r="C195" t="s">
        <v>730</v>
      </c>
      <c r="D195" t="s">
        <v>720</v>
      </c>
      <c r="E195" t="s">
        <v>732</v>
      </c>
      <c r="F195" s="8">
        <v>44927</v>
      </c>
      <c r="G195">
        <v>426059</v>
      </c>
    </row>
    <row r="196" spans="1:7" x14ac:dyDescent="0.3">
      <c r="A196" t="s">
        <v>131</v>
      </c>
      <c r="B196" t="s">
        <v>934</v>
      </c>
      <c r="C196" t="s">
        <v>725</v>
      </c>
      <c r="D196" t="s">
        <v>720</v>
      </c>
      <c r="E196" t="s">
        <v>732</v>
      </c>
      <c r="F196" s="8">
        <v>45197</v>
      </c>
      <c r="G196">
        <v>902877</v>
      </c>
    </row>
    <row r="197" spans="1:7" x14ac:dyDescent="0.3">
      <c r="A197" t="s">
        <v>201</v>
      </c>
      <c r="B197" t="s">
        <v>935</v>
      </c>
      <c r="C197" t="s">
        <v>725</v>
      </c>
      <c r="D197" t="s">
        <v>737</v>
      </c>
      <c r="E197" t="s">
        <v>732</v>
      </c>
      <c r="F197" s="8">
        <v>45466</v>
      </c>
      <c r="G197">
        <v>527022</v>
      </c>
    </row>
    <row r="198" spans="1:7" x14ac:dyDescent="0.3">
      <c r="A198" t="s">
        <v>76</v>
      </c>
      <c r="B198" t="s">
        <v>936</v>
      </c>
      <c r="C198" t="s">
        <v>725</v>
      </c>
      <c r="D198" t="s">
        <v>720</v>
      </c>
      <c r="E198" t="s">
        <v>726</v>
      </c>
      <c r="F198" s="8">
        <v>44696</v>
      </c>
      <c r="G198">
        <v>1374072</v>
      </c>
    </row>
    <row r="199" spans="1:7" x14ac:dyDescent="0.3">
      <c r="A199" t="s">
        <v>180</v>
      </c>
      <c r="B199" t="s">
        <v>937</v>
      </c>
      <c r="C199" t="s">
        <v>730</v>
      </c>
      <c r="D199" t="s">
        <v>723</v>
      </c>
      <c r="E199" t="s">
        <v>732</v>
      </c>
      <c r="F199" s="8">
        <v>45472</v>
      </c>
      <c r="G199">
        <v>114868</v>
      </c>
    </row>
    <row r="200" spans="1:7" x14ac:dyDescent="0.3">
      <c r="A200" t="s">
        <v>542</v>
      </c>
      <c r="B200" t="s">
        <v>938</v>
      </c>
      <c r="C200" t="s">
        <v>770</v>
      </c>
      <c r="D200" t="s">
        <v>737</v>
      </c>
      <c r="E200" t="s">
        <v>721</v>
      </c>
      <c r="F200" s="8">
        <v>45237</v>
      </c>
      <c r="G200">
        <v>608517</v>
      </c>
    </row>
    <row r="201" spans="1:7" x14ac:dyDescent="0.3">
      <c r="A201" t="s">
        <v>387</v>
      </c>
      <c r="B201" t="s">
        <v>939</v>
      </c>
      <c r="C201" t="s">
        <v>725</v>
      </c>
      <c r="D201" t="s">
        <v>723</v>
      </c>
      <c r="E201" t="s">
        <v>732</v>
      </c>
      <c r="F201" s="8">
        <v>44621</v>
      </c>
      <c r="G201">
        <v>752362</v>
      </c>
    </row>
    <row r="202" spans="1:7" x14ac:dyDescent="0.3">
      <c r="F202" s="8">
        <v>45131</v>
      </c>
      <c r="G202">
        <v>803170</v>
      </c>
    </row>
    <row r="203" spans="1:7" x14ac:dyDescent="0.3">
      <c r="F203" s="8">
        <v>44944</v>
      </c>
      <c r="G203">
        <v>239121</v>
      </c>
    </row>
    <row r="204" spans="1:7" x14ac:dyDescent="0.3">
      <c r="F204" s="8">
        <v>45027</v>
      </c>
      <c r="G204">
        <v>1630650</v>
      </c>
    </row>
    <row r="205" spans="1:7" x14ac:dyDescent="0.3">
      <c r="F205" s="8">
        <v>45211</v>
      </c>
      <c r="G205">
        <v>888888</v>
      </c>
    </row>
    <row r="206" spans="1:7" x14ac:dyDescent="0.3">
      <c r="F206" s="8">
        <v>45266</v>
      </c>
      <c r="G206">
        <v>1889897</v>
      </c>
    </row>
    <row r="207" spans="1:7" x14ac:dyDescent="0.3">
      <c r="F207" s="8">
        <v>45039</v>
      </c>
      <c r="G207">
        <v>1527799</v>
      </c>
    </row>
    <row r="208" spans="1:7" x14ac:dyDescent="0.3">
      <c r="F208" s="8">
        <v>45316</v>
      </c>
      <c r="G208">
        <v>999100</v>
      </c>
    </row>
    <row r="209" spans="6:7" x14ac:dyDescent="0.3">
      <c r="F209" s="8">
        <v>44857</v>
      </c>
      <c r="G209">
        <v>1697182</v>
      </c>
    </row>
    <row r="210" spans="6:7" x14ac:dyDescent="0.3">
      <c r="F210" s="8">
        <v>45329</v>
      </c>
      <c r="G210">
        <v>611033</v>
      </c>
    </row>
    <row r="211" spans="6:7" x14ac:dyDescent="0.3">
      <c r="F211" s="8">
        <v>44991</v>
      </c>
      <c r="G211">
        <v>1738037</v>
      </c>
    </row>
    <row r="212" spans="6:7" x14ac:dyDescent="0.3">
      <c r="F212" s="8">
        <v>44758</v>
      </c>
      <c r="G212">
        <v>627332</v>
      </c>
    </row>
    <row r="213" spans="6:7" x14ac:dyDescent="0.3">
      <c r="F213" s="8">
        <v>45093</v>
      </c>
      <c r="G213">
        <v>139525</v>
      </c>
    </row>
    <row r="214" spans="6:7" x14ac:dyDescent="0.3">
      <c r="F214" s="8">
        <v>45511</v>
      </c>
      <c r="G214">
        <v>828258</v>
      </c>
    </row>
    <row r="215" spans="6:7" x14ac:dyDescent="0.3">
      <c r="F215" s="8">
        <v>44947</v>
      </c>
      <c r="G215">
        <v>705506</v>
      </c>
    </row>
    <row r="216" spans="6:7" x14ac:dyDescent="0.3">
      <c r="F216" s="8">
        <v>45153</v>
      </c>
      <c r="G216">
        <v>915412</v>
      </c>
    </row>
    <row r="217" spans="6:7" x14ac:dyDescent="0.3">
      <c r="F217" s="8">
        <v>45180</v>
      </c>
      <c r="G217">
        <v>1227034</v>
      </c>
    </row>
    <row r="218" spans="6:7" x14ac:dyDescent="0.3">
      <c r="F218" s="8">
        <v>45168</v>
      </c>
      <c r="G218">
        <v>314618</v>
      </c>
    </row>
    <row r="219" spans="6:7" x14ac:dyDescent="0.3">
      <c r="F219" s="8">
        <v>45530</v>
      </c>
      <c r="G219">
        <v>537413</v>
      </c>
    </row>
    <row r="220" spans="6:7" x14ac:dyDescent="0.3">
      <c r="F220" s="8">
        <v>44991</v>
      </c>
      <c r="G220">
        <v>585419</v>
      </c>
    </row>
    <row r="221" spans="6:7" x14ac:dyDescent="0.3">
      <c r="F221" s="8">
        <v>45284</v>
      </c>
      <c r="G221">
        <v>1721651</v>
      </c>
    </row>
    <row r="222" spans="6:7" x14ac:dyDescent="0.3">
      <c r="F222" s="8">
        <v>44698</v>
      </c>
      <c r="G222">
        <v>560691</v>
      </c>
    </row>
    <row r="223" spans="6:7" x14ac:dyDescent="0.3">
      <c r="F223" s="8">
        <v>44693</v>
      </c>
      <c r="G223">
        <v>388446</v>
      </c>
    </row>
    <row r="224" spans="6:7" x14ac:dyDescent="0.3">
      <c r="F224" s="8">
        <v>45556</v>
      </c>
      <c r="G224">
        <v>596049</v>
      </c>
    </row>
    <row r="225" spans="6:7" x14ac:dyDescent="0.3">
      <c r="F225" s="8">
        <v>44605</v>
      </c>
      <c r="G225">
        <v>1838365</v>
      </c>
    </row>
    <row r="226" spans="6:7" x14ac:dyDescent="0.3">
      <c r="F226" s="8">
        <v>44899</v>
      </c>
      <c r="G226">
        <v>1080310</v>
      </c>
    </row>
    <row r="227" spans="6:7" x14ac:dyDescent="0.3">
      <c r="F227" s="8">
        <v>44851</v>
      </c>
      <c r="G227">
        <v>550981</v>
      </c>
    </row>
    <row r="228" spans="6:7" x14ac:dyDescent="0.3">
      <c r="F228" s="8">
        <v>45247</v>
      </c>
      <c r="G228">
        <v>1307042</v>
      </c>
    </row>
    <row r="229" spans="6:7" x14ac:dyDescent="0.3">
      <c r="F229" s="8">
        <v>44807</v>
      </c>
      <c r="G229">
        <v>683716</v>
      </c>
    </row>
    <row r="230" spans="6:7" x14ac:dyDescent="0.3">
      <c r="F230" s="8">
        <v>44703</v>
      </c>
      <c r="G230">
        <v>1071476</v>
      </c>
    </row>
    <row r="231" spans="6:7" x14ac:dyDescent="0.3">
      <c r="F231" s="8">
        <v>45508</v>
      </c>
      <c r="G231">
        <v>1095245</v>
      </c>
    </row>
    <row r="232" spans="6:7" x14ac:dyDescent="0.3">
      <c r="F232" s="8">
        <v>45098</v>
      </c>
      <c r="G232">
        <v>489311</v>
      </c>
    </row>
    <row r="233" spans="6:7" x14ac:dyDescent="0.3">
      <c r="F233" s="8">
        <v>44591</v>
      </c>
      <c r="G233">
        <v>1222490</v>
      </c>
    </row>
    <row r="234" spans="6:7" x14ac:dyDescent="0.3">
      <c r="F234" s="8">
        <v>45303</v>
      </c>
      <c r="G234">
        <v>390350</v>
      </c>
    </row>
    <row r="235" spans="6:7" x14ac:dyDescent="0.3">
      <c r="F235" s="8">
        <v>45362</v>
      </c>
      <c r="G235">
        <v>759552</v>
      </c>
    </row>
    <row r="236" spans="6:7" x14ac:dyDescent="0.3">
      <c r="F236" s="8">
        <v>44967</v>
      </c>
      <c r="G236">
        <v>649379</v>
      </c>
    </row>
    <row r="237" spans="6:7" x14ac:dyDescent="0.3">
      <c r="F237" s="8">
        <v>44948</v>
      </c>
      <c r="G237">
        <v>1399406</v>
      </c>
    </row>
    <row r="238" spans="6:7" x14ac:dyDescent="0.3">
      <c r="F238" s="8">
        <v>45275</v>
      </c>
      <c r="G238">
        <v>923749</v>
      </c>
    </row>
    <row r="239" spans="6:7" x14ac:dyDescent="0.3">
      <c r="F239" s="8">
        <v>44860</v>
      </c>
      <c r="G239">
        <v>1753701</v>
      </c>
    </row>
    <row r="240" spans="6:7" x14ac:dyDescent="0.3">
      <c r="F240" s="8">
        <v>44841</v>
      </c>
      <c r="G240">
        <v>301404</v>
      </c>
    </row>
    <row r="241" spans="6:7" x14ac:dyDescent="0.3">
      <c r="F241" s="8">
        <v>45455</v>
      </c>
      <c r="G241">
        <v>1557632</v>
      </c>
    </row>
    <row r="242" spans="6:7" x14ac:dyDescent="0.3">
      <c r="F242" s="8">
        <v>44731</v>
      </c>
      <c r="G242">
        <v>372265</v>
      </c>
    </row>
    <row r="243" spans="6:7" x14ac:dyDescent="0.3">
      <c r="F243" s="8">
        <v>45267</v>
      </c>
      <c r="G243">
        <v>126940</v>
      </c>
    </row>
    <row r="244" spans="6:7" x14ac:dyDescent="0.3">
      <c r="F244" s="8">
        <v>44910</v>
      </c>
      <c r="G244">
        <v>252750</v>
      </c>
    </row>
    <row r="245" spans="6:7" x14ac:dyDescent="0.3">
      <c r="F245" s="8">
        <v>44703</v>
      </c>
      <c r="G245">
        <v>218058</v>
      </c>
    </row>
    <row r="246" spans="6:7" x14ac:dyDescent="0.3">
      <c r="F246" s="8">
        <v>44818</v>
      </c>
      <c r="G246">
        <v>1340311</v>
      </c>
    </row>
    <row r="247" spans="6:7" x14ac:dyDescent="0.3">
      <c r="F247" s="8">
        <v>45179</v>
      </c>
      <c r="G247">
        <v>500828</v>
      </c>
    </row>
    <row r="248" spans="6:7" x14ac:dyDescent="0.3">
      <c r="F248" s="8">
        <v>44990</v>
      </c>
      <c r="G248">
        <v>357479</v>
      </c>
    </row>
    <row r="249" spans="6:7" x14ac:dyDescent="0.3">
      <c r="F249" s="8">
        <v>44596</v>
      </c>
      <c r="G249">
        <v>1596695</v>
      </c>
    </row>
    <row r="250" spans="6:7" x14ac:dyDescent="0.3">
      <c r="F250" s="8">
        <v>44673</v>
      </c>
      <c r="G250">
        <v>1841949</v>
      </c>
    </row>
    <row r="251" spans="6:7" x14ac:dyDescent="0.3">
      <c r="F251" s="8">
        <v>44625</v>
      </c>
      <c r="G251">
        <v>961589</v>
      </c>
    </row>
    <row r="252" spans="6:7" x14ac:dyDescent="0.3">
      <c r="F252" s="8">
        <v>44753</v>
      </c>
      <c r="G252">
        <v>1072905</v>
      </c>
    </row>
    <row r="253" spans="6:7" x14ac:dyDescent="0.3">
      <c r="F253" s="8">
        <v>44895</v>
      </c>
      <c r="G253">
        <v>848825</v>
      </c>
    </row>
    <row r="254" spans="6:7" x14ac:dyDescent="0.3">
      <c r="F254" s="8">
        <v>44861</v>
      </c>
      <c r="G254">
        <v>133838</v>
      </c>
    </row>
    <row r="255" spans="6:7" x14ac:dyDescent="0.3">
      <c r="F255" s="8">
        <v>44701</v>
      </c>
      <c r="G255">
        <v>851012</v>
      </c>
    </row>
    <row r="256" spans="6:7" x14ac:dyDescent="0.3">
      <c r="F256" s="8">
        <v>45082</v>
      </c>
      <c r="G256">
        <v>661173</v>
      </c>
    </row>
    <row r="257" spans="6:7" x14ac:dyDescent="0.3">
      <c r="F257" s="8">
        <v>45045</v>
      </c>
      <c r="G257">
        <v>338584</v>
      </c>
    </row>
    <row r="258" spans="6:7" x14ac:dyDescent="0.3">
      <c r="F258" s="8">
        <v>44672</v>
      </c>
      <c r="G258">
        <v>1735496</v>
      </c>
    </row>
    <row r="259" spans="6:7" x14ac:dyDescent="0.3">
      <c r="F259" s="8">
        <v>44946</v>
      </c>
      <c r="G259">
        <v>1669164</v>
      </c>
    </row>
    <row r="260" spans="6:7" x14ac:dyDescent="0.3">
      <c r="F260" s="8">
        <v>45370</v>
      </c>
      <c r="G260">
        <v>180435</v>
      </c>
    </row>
    <row r="261" spans="6:7" x14ac:dyDescent="0.3">
      <c r="F261" s="8">
        <v>44771</v>
      </c>
      <c r="G261">
        <v>416277</v>
      </c>
    </row>
    <row r="262" spans="6:7" x14ac:dyDescent="0.3">
      <c r="F262" s="8">
        <v>45263</v>
      </c>
      <c r="G262">
        <v>1173227</v>
      </c>
    </row>
    <row r="263" spans="6:7" x14ac:dyDescent="0.3">
      <c r="F263" s="8">
        <v>45401</v>
      </c>
      <c r="G263">
        <v>125471</v>
      </c>
    </row>
    <row r="264" spans="6:7" x14ac:dyDescent="0.3">
      <c r="F264" s="8">
        <v>45028</v>
      </c>
      <c r="G264">
        <v>822646</v>
      </c>
    </row>
    <row r="265" spans="6:7" x14ac:dyDescent="0.3">
      <c r="F265" s="8">
        <v>45321</v>
      </c>
      <c r="G265">
        <v>1331943</v>
      </c>
    </row>
    <row r="266" spans="6:7" x14ac:dyDescent="0.3">
      <c r="F266" s="8">
        <v>44596</v>
      </c>
      <c r="G266">
        <v>1688692</v>
      </c>
    </row>
    <row r="267" spans="6:7" x14ac:dyDescent="0.3">
      <c r="F267" s="8">
        <v>44896</v>
      </c>
      <c r="G267">
        <v>787794</v>
      </c>
    </row>
    <row r="268" spans="6:7" x14ac:dyDescent="0.3">
      <c r="F268" s="8">
        <v>44991</v>
      </c>
      <c r="G268">
        <v>1010215</v>
      </c>
    </row>
    <row r="269" spans="6:7" x14ac:dyDescent="0.3">
      <c r="F269" s="8">
        <v>45544</v>
      </c>
      <c r="G269">
        <v>1101230</v>
      </c>
    </row>
    <row r="270" spans="6:7" x14ac:dyDescent="0.3">
      <c r="F270" s="8">
        <v>45174</v>
      </c>
      <c r="G270">
        <v>717525</v>
      </c>
    </row>
    <row r="271" spans="6:7" x14ac:dyDescent="0.3">
      <c r="F271" s="8">
        <v>44781</v>
      </c>
      <c r="G271">
        <v>1274364</v>
      </c>
    </row>
    <row r="272" spans="6:7" x14ac:dyDescent="0.3">
      <c r="F272" s="8">
        <v>44728</v>
      </c>
      <c r="G272">
        <v>1527302</v>
      </c>
    </row>
    <row r="273" spans="6:7" x14ac:dyDescent="0.3">
      <c r="F273" s="8">
        <v>45546</v>
      </c>
      <c r="G273">
        <v>1269185</v>
      </c>
    </row>
    <row r="274" spans="6:7" x14ac:dyDescent="0.3">
      <c r="F274" s="8">
        <v>45429</v>
      </c>
      <c r="G274">
        <v>1807524</v>
      </c>
    </row>
    <row r="275" spans="6:7" x14ac:dyDescent="0.3">
      <c r="F275" s="8">
        <v>45271</v>
      </c>
      <c r="G275">
        <v>1466618</v>
      </c>
    </row>
    <row r="276" spans="6:7" x14ac:dyDescent="0.3">
      <c r="F276" s="8">
        <v>44590</v>
      </c>
      <c r="G276">
        <v>1402613</v>
      </c>
    </row>
    <row r="277" spans="6:7" x14ac:dyDescent="0.3">
      <c r="F277" s="8">
        <v>44704</v>
      </c>
      <c r="G277">
        <v>1550468</v>
      </c>
    </row>
    <row r="278" spans="6:7" x14ac:dyDescent="0.3">
      <c r="F278" s="8">
        <v>44943</v>
      </c>
      <c r="G278">
        <v>1809360</v>
      </c>
    </row>
    <row r="279" spans="6:7" x14ac:dyDescent="0.3">
      <c r="F279" s="8">
        <v>45508</v>
      </c>
      <c r="G279">
        <v>1274370</v>
      </c>
    </row>
    <row r="280" spans="6:7" x14ac:dyDescent="0.3">
      <c r="F280" s="8">
        <v>44877</v>
      </c>
      <c r="G280">
        <v>365107</v>
      </c>
    </row>
    <row r="281" spans="6:7" x14ac:dyDescent="0.3">
      <c r="F281" s="8">
        <v>45282</v>
      </c>
      <c r="G281">
        <v>584760</v>
      </c>
    </row>
    <row r="282" spans="6:7" x14ac:dyDescent="0.3">
      <c r="F282" s="8">
        <v>45377</v>
      </c>
      <c r="G282">
        <v>1839330</v>
      </c>
    </row>
    <row r="283" spans="6:7" x14ac:dyDescent="0.3">
      <c r="F283" s="8">
        <v>44567</v>
      </c>
      <c r="G283">
        <v>615275</v>
      </c>
    </row>
    <row r="284" spans="6:7" x14ac:dyDescent="0.3">
      <c r="F284" s="8">
        <v>45113</v>
      </c>
      <c r="G284">
        <v>177669</v>
      </c>
    </row>
    <row r="285" spans="6:7" x14ac:dyDescent="0.3">
      <c r="F285" s="8">
        <v>44568</v>
      </c>
      <c r="G285">
        <v>325451</v>
      </c>
    </row>
    <row r="286" spans="6:7" x14ac:dyDescent="0.3">
      <c r="F286" s="8">
        <v>44684</v>
      </c>
      <c r="G286">
        <v>1369287</v>
      </c>
    </row>
    <row r="287" spans="6:7" x14ac:dyDescent="0.3">
      <c r="F287" s="8">
        <v>45056</v>
      </c>
      <c r="G287">
        <v>1353345</v>
      </c>
    </row>
    <row r="288" spans="6:7" x14ac:dyDescent="0.3">
      <c r="F288" s="8">
        <v>45187</v>
      </c>
      <c r="G288">
        <v>1429693</v>
      </c>
    </row>
    <row r="289" spans="6:7" x14ac:dyDescent="0.3">
      <c r="F289" s="8">
        <v>44808</v>
      </c>
      <c r="G289">
        <v>1519063</v>
      </c>
    </row>
    <row r="290" spans="6:7" x14ac:dyDescent="0.3">
      <c r="F290" s="8">
        <v>45379</v>
      </c>
      <c r="G290">
        <v>826745</v>
      </c>
    </row>
    <row r="291" spans="6:7" x14ac:dyDescent="0.3">
      <c r="F291" s="8">
        <v>45517</v>
      </c>
      <c r="G291">
        <v>1543993</v>
      </c>
    </row>
    <row r="292" spans="6:7" x14ac:dyDescent="0.3">
      <c r="F292" s="8">
        <v>45282</v>
      </c>
      <c r="G292">
        <v>860303</v>
      </c>
    </row>
    <row r="293" spans="6:7" x14ac:dyDescent="0.3">
      <c r="F293" s="8">
        <v>44927</v>
      </c>
      <c r="G293">
        <v>1180029</v>
      </c>
    </row>
    <row r="294" spans="6:7" x14ac:dyDescent="0.3">
      <c r="F294" s="8">
        <v>44894</v>
      </c>
      <c r="G294">
        <v>1684123</v>
      </c>
    </row>
    <row r="295" spans="6:7" x14ac:dyDescent="0.3">
      <c r="F295" s="8">
        <v>45154</v>
      </c>
      <c r="G295">
        <v>1993034</v>
      </c>
    </row>
    <row r="296" spans="6:7" x14ac:dyDescent="0.3">
      <c r="F296" s="8">
        <v>45180</v>
      </c>
      <c r="G296">
        <v>1880190</v>
      </c>
    </row>
    <row r="297" spans="6:7" x14ac:dyDescent="0.3">
      <c r="F297" s="8">
        <v>44898</v>
      </c>
      <c r="G297">
        <v>1914328</v>
      </c>
    </row>
    <row r="298" spans="6:7" x14ac:dyDescent="0.3">
      <c r="F298" s="8">
        <v>45262</v>
      </c>
      <c r="G298">
        <v>359647</v>
      </c>
    </row>
    <row r="299" spans="6:7" x14ac:dyDescent="0.3">
      <c r="F299" s="8">
        <v>45212</v>
      </c>
      <c r="G299">
        <v>1956548</v>
      </c>
    </row>
    <row r="300" spans="6:7" x14ac:dyDescent="0.3">
      <c r="F300" s="8">
        <v>45534</v>
      </c>
      <c r="G300">
        <v>1679871</v>
      </c>
    </row>
    <row r="301" spans="6:7" x14ac:dyDescent="0.3">
      <c r="F301" s="8">
        <v>44944</v>
      </c>
      <c r="G301">
        <v>1248035</v>
      </c>
    </row>
    <row r="302" spans="6:7" x14ac:dyDescent="0.3">
      <c r="F302" s="8">
        <v>45537</v>
      </c>
      <c r="G302">
        <v>725981</v>
      </c>
    </row>
    <row r="303" spans="6:7" x14ac:dyDescent="0.3">
      <c r="F303" s="8">
        <v>45397</v>
      </c>
      <c r="G303">
        <v>1112477</v>
      </c>
    </row>
    <row r="304" spans="6:7" x14ac:dyDescent="0.3">
      <c r="F304" s="8">
        <v>45238</v>
      </c>
      <c r="G304">
        <v>1493649</v>
      </c>
    </row>
    <row r="305" spans="6:7" x14ac:dyDescent="0.3">
      <c r="F305" s="8">
        <v>44730</v>
      </c>
      <c r="G305">
        <v>1980369</v>
      </c>
    </row>
    <row r="306" spans="6:7" x14ac:dyDescent="0.3">
      <c r="F306" s="8">
        <v>44704</v>
      </c>
      <c r="G306">
        <v>1952792</v>
      </c>
    </row>
    <row r="307" spans="6:7" x14ac:dyDescent="0.3">
      <c r="F307" s="8">
        <v>44721</v>
      </c>
      <c r="G307">
        <v>842390</v>
      </c>
    </row>
    <row r="308" spans="6:7" x14ac:dyDescent="0.3">
      <c r="F308" s="8">
        <v>45197</v>
      </c>
      <c r="G308">
        <v>398140</v>
      </c>
    </row>
    <row r="309" spans="6:7" x14ac:dyDescent="0.3">
      <c r="F309" s="8">
        <v>44622</v>
      </c>
      <c r="G309">
        <v>850718</v>
      </c>
    </row>
    <row r="310" spans="6:7" x14ac:dyDescent="0.3">
      <c r="F310" s="8">
        <v>45078</v>
      </c>
      <c r="G310">
        <v>184340</v>
      </c>
    </row>
    <row r="311" spans="6:7" x14ac:dyDescent="0.3">
      <c r="F311" s="8">
        <v>45101</v>
      </c>
      <c r="G311">
        <v>426314</v>
      </c>
    </row>
    <row r="312" spans="6:7" x14ac:dyDescent="0.3">
      <c r="F312" s="8">
        <v>45396</v>
      </c>
      <c r="G312">
        <v>681729</v>
      </c>
    </row>
    <row r="313" spans="6:7" x14ac:dyDescent="0.3">
      <c r="F313" s="8">
        <v>44926</v>
      </c>
      <c r="G313">
        <v>1448173</v>
      </c>
    </row>
    <row r="314" spans="6:7" x14ac:dyDescent="0.3">
      <c r="F314" s="8">
        <v>44730</v>
      </c>
      <c r="G314">
        <v>1213952</v>
      </c>
    </row>
    <row r="315" spans="6:7" x14ac:dyDescent="0.3">
      <c r="F315" s="8">
        <v>45442</v>
      </c>
      <c r="G315">
        <v>1656254</v>
      </c>
    </row>
    <row r="316" spans="6:7" x14ac:dyDescent="0.3">
      <c r="F316" s="8">
        <v>44616</v>
      </c>
      <c r="G316">
        <v>892775</v>
      </c>
    </row>
    <row r="317" spans="6:7" x14ac:dyDescent="0.3">
      <c r="F317" s="8">
        <v>45104</v>
      </c>
      <c r="G317">
        <v>1094235</v>
      </c>
    </row>
    <row r="318" spans="6:7" x14ac:dyDescent="0.3">
      <c r="F318" s="8">
        <v>44738</v>
      </c>
      <c r="G318">
        <v>1299310</v>
      </c>
    </row>
    <row r="319" spans="6:7" x14ac:dyDescent="0.3">
      <c r="F319" s="8">
        <v>44736</v>
      </c>
      <c r="G319">
        <v>1960136</v>
      </c>
    </row>
    <row r="320" spans="6:7" x14ac:dyDescent="0.3">
      <c r="F320" s="8">
        <v>44806</v>
      </c>
      <c r="G320">
        <v>1967437</v>
      </c>
    </row>
    <row r="321" spans="6:7" x14ac:dyDescent="0.3">
      <c r="F321" s="8">
        <v>45191</v>
      </c>
      <c r="G321">
        <v>1942794</v>
      </c>
    </row>
    <row r="322" spans="6:7" x14ac:dyDescent="0.3">
      <c r="F322" s="8">
        <v>44922</v>
      </c>
      <c r="G322">
        <v>1190078</v>
      </c>
    </row>
    <row r="323" spans="6:7" x14ac:dyDescent="0.3">
      <c r="F323" s="8">
        <v>45257</v>
      </c>
      <c r="G323">
        <v>1048917</v>
      </c>
    </row>
    <row r="324" spans="6:7" x14ac:dyDescent="0.3">
      <c r="F324" s="8">
        <v>45046</v>
      </c>
      <c r="G324">
        <v>816107</v>
      </c>
    </row>
    <row r="325" spans="6:7" x14ac:dyDescent="0.3">
      <c r="F325" s="8">
        <v>44600</v>
      </c>
      <c r="G325">
        <v>1656110</v>
      </c>
    </row>
    <row r="326" spans="6:7" x14ac:dyDescent="0.3">
      <c r="F326" s="8">
        <v>45001</v>
      </c>
      <c r="G326">
        <v>952825</v>
      </c>
    </row>
    <row r="327" spans="6:7" x14ac:dyDescent="0.3">
      <c r="F327" s="8">
        <v>45106</v>
      </c>
      <c r="G327">
        <v>169039</v>
      </c>
    </row>
    <row r="328" spans="6:7" x14ac:dyDescent="0.3">
      <c r="F328" s="8">
        <v>45218</v>
      </c>
      <c r="G328">
        <v>1067746</v>
      </c>
    </row>
    <row r="329" spans="6:7" x14ac:dyDescent="0.3">
      <c r="F329" s="8">
        <v>44933</v>
      </c>
      <c r="G329">
        <v>1070034</v>
      </c>
    </row>
    <row r="330" spans="6:7" x14ac:dyDescent="0.3">
      <c r="F330" s="8">
        <v>45456</v>
      </c>
      <c r="G330">
        <v>1236138</v>
      </c>
    </row>
    <row r="331" spans="6:7" x14ac:dyDescent="0.3">
      <c r="F331" s="8">
        <v>44978</v>
      </c>
      <c r="G331">
        <v>1246912</v>
      </c>
    </row>
    <row r="332" spans="6:7" x14ac:dyDescent="0.3">
      <c r="F332" s="8">
        <v>45516</v>
      </c>
      <c r="G332">
        <v>1054162</v>
      </c>
    </row>
    <row r="333" spans="6:7" x14ac:dyDescent="0.3">
      <c r="F333" s="8">
        <v>44668</v>
      </c>
      <c r="G333">
        <v>829249</v>
      </c>
    </row>
    <row r="334" spans="6:7" x14ac:dyDescent="0.3">
      <c r="F334" s="8">
        <v>44669</v>
      </c>
      <c r="G334">
        <v>1168171</v>
      </c>
    </row>
    <row r="335" spans="6:7" x14ac:dyDescent="0.3">
      <c r="F335" s="8">
        <v>45494</v>
      </c>
      <c r="G335">
        <v>663394</v>
      </c>
    </row>
    <row r="336" spans="6:7" x14ac:dyDescent="0.3">
      <c r="F336" s="8">
        <v>45555</v>
      </c>
      <c r="G336">
        <v>660147</v>
      </c>
    </row>
    <row r="337" spans="6:7" x14ac:dyDescent="0.3">
      <c r="F337" s="8">
        <v>44584</v>
      </c>
      <c r="G337">
        <v>1536928</v>
      </c>
    </row>
    <row r="338" spans="6:7" x14ac:dyDescent="0.3">
      <c r="F338" s="8">
        <v>44606</v>
      </c>
      <c r="G338">
        <v>916478</v>
      </c>
    </row>
    <row r="339" spans="6:7" x14ac:dyDescent="0.3">
      <c r="F339" s="8">
        <v>45540</v>
      </c>
      <c r="G339">
        <v>469136</v>
      </c>
    </row>
    <row r="340" spans="6:7" x14ac:dyDescent="0.3">
      <c r="F340" s="8">
        <v>44757</v>
      </c>
      <c r="G340">
        <v>118762</v>
      </c>
    </row>
    <row r="341" spans="6:7" x14ac:dyDescent="0.3">
      <c r="F341" s="8">
        <v>45135</v>
      </c>
      <c r="G341">
        <v>1533840</v>
      </c>
    </row>
    <row r="342" spans="6:7" x14ac:dyDescent="0.3">
      <c r="F342" s="8">
        <v>44918</v>
      </c>
      <c r="G342">
        <v>1832603</v>
      </c>
    </row>
    <row r="343" spans="6:7" x14ac:dyDescent="0.3">
      <c r="F343" s="8">
        <v>45140</v>
      </c>
      <c r="G343">
        <v>1574259</v>
      </c>
    </row>
    <row r="344" spans="6:7" x14ac:dyDescent="0.3">
      <c r="F344" s="8">
        <v>45351</v>
      </c>
      <c r="G344">
        <v>521135</v>
      </c>
    </row>
    <row r="345" spans="6:7" x14ac:dyDescent="0.3">
      <c r="F345" s="8">
        <v>44971</v>
      </c>
      <c r="G345">
        <v>727103</v>
      </c>
    </row>
    <row r="346" spans="6:7" x14ac:dyDescent="0.3">
      <c r="F346" s="8">
        <v>45040</v>
      </c>
      <c r="G346">
        <v>527394</v>
      </c>
    </row>
    <row r="347" spans="6:7" x14ac:dyDescent="0.3">
      <c r="F347" s="8">
        <v>45505</v>
      </c>
      <c r="G347">
        <v>664080</v>
      </c>
    </row>
    <row r="348" spans="6:7" x14ac:dyDescent="0.3">
      <c r="F348" s="8">
        <v>44565</v>
      </c>
      <c r="G348">
        <v>665281</v>
      </c>
    </row>
    <row r="349" spans="6:7" x14ac:dyDescent="0.3">
      <c r="F349" s="8">
        <v>44897</v>
      </c>
      <c r="G349">
        <v>1117705</v>
      </c>
    </row>
    <row r="350" spans="6:7" x14ac:dyDescent="0.3">
      <c r="F350" s="8">
        <v>44930</v>
      </c>
      <c r="G350">
        <v>843268</v>
      </c>
    </row>
    <row r="351" spans="6:7" x14ac:dyDescent="0.3">
      <c r="F351" s="8">
        <v>45538</v>
      </c>
      <c r="G351">
        <v>1681170</v>
      </c>
    </row>
    <row r="352" spans="6:7" x14ac:dyDescent="0.3">
      <c r="F352" s="8">
        <v>45339</v>
      </c>
      <c r="G352">
        <v>1474131</v>
      </c>
    </row>
    <row r="353" spans="6:7" x14ac:dyDescent="0.3">
      <c r="F353" s="8">
        <v>45483</v>
      </c>
      <c r="G353">
        <v>912043</v>
      </c>
    </row>
    <row r="354" spans="6:7" x14ac:dyDescent="0.3">
      <c r="F354" s="8">
        <v>45275</v>
      </c>
      <c r="G354">
        <v>463117</v>
      </c>
    </row>
    <row r="355" spans="6:7" x14ac:dyDescent="0.3">
      <c r="F355" s="8">
        <v>44943</v>
      </c>
      <c r="G355">
        <v>599199</v>
      </c>
    </row>
    <row r="356" spans="6:7" x14ac:dyDescent="0.3">
      <c r="F356" s="8">
        <v>45260</v>
      </c>
      <c r="G356">
        <v>1306744</v>
      </c>
    </row>
    <row r="357" spans="6:7" x14ac:dyDescent="0.3">
      <c r="F357" s="8">
        <v>44761</v>
      </c>
      <c r="G357">
        <v>1169291</v>
      </c>
    </row>
    <row r="358" spans="6:7" x14ac:dyDescent="0.3">
      <c r="F358" s="8">
        <v>45361</v>
      </c>
      <c r="G358">
        <v>1223093</v>
      </c>
    </row>
    <row r="359" spans="6:7" x14ac:dyDescent="0.3">
      <c r="F359" s="8">
        <v>45129</v>
      </c>
      <c r="G359">
        <v>1743569</v>
      </c>
    </row>
    <row r="360" spans="6:7" x14ac:dyDescent="0.3">
      <c r="F360" s="8">
        <v>45226</v>
      </c>
      <c r="G360">
        <v>232298</v>
      </c>
    </row>
    <row r="361" spans="6:7" x14ac:dyDescent="0.3">
      <c r="F361" s="8">
        <v>45154</v>
      </c>
      <c r="G361">
        <v>1579631</v>
      </c>
    </row>
    <row r="362" spans="6:7" x14ac:dyDescent="0.3">
      <c r="F362" s="8">
        <v>45281</v>
      </c>
      <c r="G362">
        <v>602988</v>
      </c>
    </row>
    <row r="363" spans="6:7" x14ac:dyDescent="0.3">
      <c r="F363" s="8">
        <v>45343</v>
      </c>
      <c r="G363">
        <v>569958</v>
      </c>
    </row>
    <row r="364" spans="6:7" x14ac:dyDescent="0.3">
      <c r="F364" s="8">
        <v>44715</v>
      </c>
      <c r="G364">
        <v>1467643</v>
      </c>
    </row>
    <row r="365" spans="6:7" x14ac:dyDescent="0.3">
      <c r="F365" s="8">
        <v>44913</v>
      </c>
      <c r="G365">
        <v>1972529</v>
      </c>
    </row>
    <row r="366" spans="6:7" x14ac:dyDescent="0.3">
      <c r="F366" s="8">
        <v>44937</v>
      </c>
      <c r="G366">
        <v>1344853</v>
      </c>
    </row>
    <row r="367" spans="6:7" x14ac:dyDescent="0.3">
      <c r="F367" s="8">
        <v>45426</v>
      </c>
      <c r="G367">
        <v>437778</v>
      </c>
    </row>
    <row r="368" spans="6:7" x14ac:dyDescent="0.3">
      <c r="F368" s="8">
        <v>45251</v>
      </c>
      <c r="G368">
        <v>1172854</v>
      </c>
    </row>
    <row r="369" spans="6:7" x14ac:dyDescent="0.3">
      <c r="F369" s="8">
        <v>45129</v>
      </c>
      <c r="G369">
        <v>1942918</v>
      </c>
    </row>
    <row r="370" spans="6:7" x14ac:dyDescent="0.3">
      <c r="F370" s="8">
        <v>44635</v>
      </c>
      <c r="G370">
        <v>1165320</v>
      </c>
    </row>
    <row r="371" spans="6:7" x14ac:dyDescent="0.3">
      <c r="F371" s="8">
        <v>45207</v>
      </c>
      <c r="G371">
        <v>391179</v>
      </c>
    </row>
    <row r="372" spans="6:7" x14ac:dyDescent="0.3">
      <c r="F372" s="8">
        <v>45111</v>
      </c>
      <c r="G372">
        <v>251475</v>
      </c>
    </row>
    <row r="373" spans="6:7" x14ac:dyDescent="0.3">
      <c r="F373" s="8">
        <v>44782</v>
      </c>
      <c r="G373">
        <v>1604039</v>
      </c>
    </row>
    <row r="374" spans="6:7" x14ac:dyDescent="0.3">
      <c r="F374" s="8">
        <v>45313</v>
      </c>
      <c r="G374">
        <v>1478938</v>
      </c>
    </row>
    <row r="375" spans="6:7" x14ac:dyDescent="0.3">
      <c r="F375" s="8">
        <v>45305</v>
      </c>
      <c r="G375">
        <v>277688</v>
      </c>
    </row>
    <row r="376" spans="6:7" x14ac:dyDescent="0.3">
      <c r="F376" s="8">
        <v>45127</v>
      </c>
      <c r="G376">
        <v>1373907</v>
      </c>
    </row>
    <row r="377" spans="6:7" x14ac:dyDescent="0.3">
      <c r="F377" s="8">
        <v>45261</v>
      </c>
      <c r="G377">
        <v>750199</v>
      </c>
    </row>
    <row r="378" spans="6:7" x14ac:dyDescent="0.3">
      <c r="F378" s="8">
        <v>44800</v>
      </c>
      <c r="G378">
        <v>474437</v>
      </c>
    </row>
    <row r="379" spans="6:7" x14ac:dyDescent="0.3">
      <c r="F379" s="8">
        <v>45293</v>
      </c>
      <c r="G379">
        <v>1427660</v>
      </c>
    </row>
    <row r="380" spans="6:7" x14ac:dyDescent="0.3">
      <c r="F380" s="8">
        <v>44684</v>
      </c>
      <c r="G380">
        <v>1820128</v>
      </c>
    </row>
    <row r="381" spans="6:7" x14ac:dyDescent="0.3">
      <c r="F381" s="8">
        <v>45560</v>
      </c>
      <c r="G381">
        <v>779098</v>
      </c>
    </row>
    <row r="382" spans="6:7" x14ac:dyDescent="0.3">
      <c r="F382" s="8">
        <v>44573</v>
      </c>
      <c r="G382">
        <v>1529260</v>
      </c>
    </row>
    <row r="383" spans="6:7" x14ac:dyDescent="0.3">
      <c r="F383" s="8">
        <v>44649</v>
      </c>
      <c r="G383">
        <v>462620</v>
      </c>
    </row>
    <row r="384" spans="6:7" x14ac:dyDescent="0.3">
      <c r="F384" s="8">
        <v>44801</v>
      </c>
      <c r="G384">
        <v>1569372</v>
      </c>
    </row>
    <row r="385" spans="6:7" x14ac:dyDescent="0.3">
      <c r="F385" s="8">
        <v>45144</v>
      </c>
      <c r="G385">
        <v>714636</v>
      </c>
    </row>
    <row r="386" spans="6:7" x14ac:dyDescent="0.3">
      <c r="F386" s="8">
        <v>45086</v>
      </c>
      <c r="G386">
        <v>604472</v>
      </c>
    </row>
    <row r="387" spans="6:7" x14ac:dyDescent="0.3">
      <c r="F387" s="8">
        <v>45334</v>
      </c>
      <c r="G387">
        <v>403870</v>
      </c>
    </row>
    <row r="388" spans="6:7" x14ac:dyDescent="0.3">
      <c r="F388" s="8">
        <v>45526</v>
      </c>
      <c r="G388">
        <v>1131281</v>
      </c>
    </row>
    <row r="389" spans="6:7" x14ac:dyDescent="0.3">
      <c r="F389" s="8">
        <v>44887</v>
      </c>
      <c r="G389">
        <v>1014930</v>
      </c>
    </row>
    <row r="390" spans="6:7" x14ac:dyDescent="0.3">
      <c r="F390" s="8">
        <v>44838</v>
      </c>
      <c r="G390">
        <v>942001</v>
      </c>
    </row>
    <row r="391" spans="6:7" x14ac:dyDescent="0.3">
      <c r="F391" s="8">
        <v>45374</v>
      </c>
      <c r="G391">
        <v>825266</v>
      </c>
    </row>
    <row r="392" spans="6:7" x14ac:dyDescent="0.3">
      <c r="F392" s="8">
        <v>45536</v>
      </c>
      <c r="G392">
        <v>430192</v>
      </c>
    </row>
    <row r="393" spans="6:7" x14ac:dyDescent="0.3">
      <c r="F393" s="8">
        <v>44731</v>
      </c>
      <c r="G393">
        <v>1967787</v>
      </c>
    </row>
    <row r="394" spans="6:7" x14ac:dyDescent="0.3">
      <c r="F394" s="8">
        <v>45292</v>
      </c>
      <c r="G394">
        <v>1361046</v>
      </c>
    </row>
    <row r="395" spans="6:7" x14ac:dyDescent="0.3">
      <c r="F395" s="8">
        <v>45008</v>
      </c>
      <c r="G395">
        <v>468501</v>
      </c>
    </row>
    <row r="396" spans="6:7" x14ac:dyDescent="0.3">
      <c r="F396" s="8">
        <v>44569</v>
      </c>
      <c r="G396">
        <v>1326611</v>
      </c>
    </row>
    <row r="397" spans="6:7" x14ac:dyDescent="0.3">
      <c r="F397" s="8">
        <v>44667</v>
      </c>
      <c r="G397">
        <v>1375725</v>
      </c>
    </row>
    <row r="398" spans="6:7" x14ac:dyDescent="0.3">
      <c r="F398" s="8">
        <v>45011</v>
      </c>
      <c r="G398">
        <v>1086623</v>
      </c>
    </row>
    <row r="399" spans="6:7" x14ac:dyDescent="0.3">
      <c r="F399" s="8">
        <v>44595</v>
      </c>
      <c r="G399">
        <v>1656907</v>
      </c>
    </row>
    <row r="400" spans="6:7" x14ac:dyDescent="0.3">
      <c r="F400" s="8">
        <v>44569</v>
      </c>
      <c r="G400">
        <v>875430</v>
      </c>
    </row>
    <row r="401" spans="6:7" x14ac:dyDescent="0.3">
      <c r="F401" s="8">
        <v>44944</v>
      </c>
      <c r="G401">
        <v>474168</v>
      </c>
    </row>
    <row r="402" spans="6:7" x14ac:dyDescent="0.3">
      <c r="F402" s="8">
        <v>45019</v>
      </c>
      <c r="G402">
        <v>1976646</v>
      </c>
    </row>
    <row r="403" spans="6:7" x14ac:dyDescent="0.3">
      <c r="F403" s="8">
        <v>45195</v>
      </c>
      <c r="G403">
        <v>1779452</v>
      </c>
    </row>
    <row r="404" spans="6:7" x14ac:dyDescent="0.3">
      <c r="F404" s="8">
        <v>45213</v>
      </c>
      <c r="G404">
        <v>1704858</v>
      </c>
    </row>
    <row r="405" spans="6:7" x14ac:dyDescent="0.3">
      <c r="F405" s="8">
        <v>45063</v>
      </c>
      <c r="G405">
        <v>1799800</v>
      </c>
    </row>
    <row r="406" spans="6:7" x14ac:dyDescent="0.3">
      <c r="F406" s="8">
        <v>44698</v>
      </c>
      <c r="G406">
        <v>1640957</v>
      </c>
    </row>
    <row r="407" spans="6:7" x14ac:dyDescent="0.3">
      <c r="F407" s="8">
        <v>45285</v>
      </c>
      <c r="G407">
        <v>1856588</v>
      </c>
    </row>
    <row r="408" spans="6:7" x14ac:dyDescent="0.3">
      <c r="F408" s="8">
        <v>44859</v>
      </c>
      <c r="G408">
        <v>352968</v>
      </c>
    </row>
    <row r="409" spans="6:7" x14ac:dyDescent="0.3">
      <c r="F409" s="8">
        <v>45333</v>
      </c>
      <c r="G409">
        <v>367120</v>
      </c>
    </row>
    <row r="410" spans="6:7" x14ac:dyDescent="0.3">
      <c r="F410" s="8">
        <v>45269</v>
      </c>
      <c r="G410">
        <v>479738</v>
      </c>
    </row>
    <row r="411" spans="6:7" x14ac:dyDescent="0.3">
      <c r="F411" s="8">
        <v>45104</v>
      </c>
      <c r="G411">
        <v>1879855</v>
      </c>
    </row>
    <row r="412" spans="6:7" x14ac:dyDescent="0.3">
      <c r="F412" s="8">
        <v>44711</v>
      </c>
      <c r="G412">
        <v>842575</v>
      </c>
    </row>
    <row r="413" spans="6:7" x14ac:dyDescent="0.3">
      <c r="F413" s="8">
        <v>45484</v>
      </c>
      <c r="G413">
        <v>1119312</v>
      </c>
    </row>
    <row r="414" spans="6:7" x14ac:dyDescent="0.3">
      <c r="F414" s="8">
        <v>45474</v>
      </c>
      <c r="G414">
        <v>1197381</v>
      </c>
    </row>
    <row r="415" spans="6:7" x14ac:dyDescent="0.3">
      <c r="F415" s="8">
        <v>45091</v>
      </c>
      <c r="G415">
        <v>1025554</v>
      </c>
    </row>
    <row r="416" spans="6:7" x14ac:dyDescent="0.3">
      <c r="F416" s="8">
        <v>44741</v>
      </c>
      <c r="G416">
        <v>1002921</v>
      </c>
    </row>
    <row r="417" spans="6:7" x14ac:dyDescent="0.3">
      <c r="F417" s="8">
        <v>44656</v>
      </c>
      <c r="G417">
        <v>264697</v>
      </c>
    </row>
    <row r="418" spans="6:7" x14ac:dyDescent="0.3">
      <c r="F418" s="8">
        <v>45095</v>
      </c>
      <c r="G418">
        <v>1344344</v>
      </c>
    </row>
    <row r="419" spans="6:7" x14ac:dyDescent="0.3">
      <c r="F419" s="8">
        <v>44999</v>
      </c>
      <c r="G419">
        <v>1324274</v>
      </c>
    </row>
    <row r="420" spans="6:7" x14ac:dyDescent="0.3">
      <c r="F420" s="8">
        <v>44582</v>
      </c>
      <c r="G420">
        <v>1094736</v>
      </c>
    </row>
    <row r="421" spans="6:7" x14ac:dyDescent="0.3">
      <c r="F421" s="8">
        <v>44954</v>
      </c>
      <c r="G421">
        <v>1191893</v>
      </c>
    </row>
    <row r="422" spans="6:7" x14ac:dyDescent="0.3">
      <c r="F422" s="8">
        <v>44985</v>
      </c>
      <c r="G422">
        <v>536997</v>
      </c>
    </row>
    <row r="423" spans="6:7" x14ac:dyDescent="0.3">
      <c r="F423" s="8">
        <v>45048</v>
      </c>
      <c r="G423">
        <v>411436</v>
      </c>
    </row>
    <row r="424" spans="6:7" x14ac:dyDescent="0.3">
      <c r="F424" s="8">
        <v>44618</v>
      </c>
      <c r="G424">
        <v>363956</v>
      </c>
    </row>
    <row r="425" spans="6:7" x14ac:dyDescent="0.3">
      <c r="F425" s="8">
        <v>45038</v>
      </c>
      <c r="G425">
        <v>590539</v>
      </c>
    </row>
    <row r="426" spans="6:7" x14ac:dyDescent="0.3">
      <c r="F426" s="8">
        <v>45067</v>
      </c>
      <c r="G426">
        <v>431699</v>
      </c>
    </row>
    <row r="427" spans="6:7" x14ac:dyDescent="0.3">
      <c r="F427" s="8">
        <v>44651</v>
      </c>
      <c r="G427">
        <v>1539350</v>
      </c>
    </row>
    <row r="428" spans="6:7" x14ac:dyDescent="0.3">
      <c r="F428" s="8">
        <v>44906</v>
      </c>
      <c r="G428">
        <v>1207999</v>
      </c>
    </row>
    <row r="429" spans="6:7" x14ac:dyDescent="0.3">
      <c r="F429" s="8">
        <v>45099</v>
      </c>
      <c r="G429">
        <v>1316157</v>
      </c>
    </row>
    <row r="430" spans="6:7" x14ac:dyDescent="0.3">
      <c r="F430" s="8">
        <v>45318</v>
      </c>
      <c r="G430">
        <v>565372</v>
      </c>
    </row>
    <row r="431" spans="6:7" x14ac:dyDescent="0.3">
      <c r="F431" s="8">
        <v>44686</v>
      </c>
      <c r="G431">
        <v>436078</v>
      </c>
    </row>
    <row r="432" spans="6:7" x14ac:dyDescent="0.3">
      <c r="F432" s="8">
        <v>45409</v>
      </c>
      <c r="G432">
        <v>1020881</v>
      </c>
    </row>
    <row r="433" spans="6:7" x14ac:dyDescent="0.3">
      <c r="F433" s="8">
        <v>45158</v>
      </c>
      <c r="G433">
        <v>520971</v>
      </c>
    </row>
    <row r="434" spans="6:7" x14ac:dyDescent="0.3">
      <c r="F434" s="8">
        <v>45453</v>
      </c>
      <c r="G434">
        <v>215618</v>
      </c>
    </row>
    <row r="435" spans="6:7" x14ac:dyDescent="0.3">
      <c r="F435" s="8">
        <v>45538</v>
      </c>
      <c r="G435">
        <v>1409033</v>
      </c>
    </row>
    <row r="436" spans="6:7" x14ac:dyDescent="0.3">
      <c r="F436" s="8">
        <v>44708</v>
      </c>
      <c r="G436">
        <v>339499</v>
      </c>
    </row>
    <row r="437" spans="6:7" x14ac:dyDescent="0.3">
      <c r="F437" s="8">
        <v>45465</v>
      </c>
      <c r="G437">
        <v>1313694</v>
      </c>
    </row>
    <row r="438" spans="6:7" x14ac:dyDescent="0.3">
      <c r="F438" s="8">
        <v>44781</v>
      </c>
      <c r="G438">
        <v>469760</v>
      </c>
    </row>
    <row r="439" spans="6:7" x14ac:dyDescent="0.3">
      <c r="F439" s="8">
        <v>45347</v>
      </c>
      <c r="G439">
        <v>265915</v>
      </c>
    </row>
    <row r="440" spans="6:7" x14ac:dyDescent="0.3">
      <c r="F440" s="8">
        <v>44720</v>
      </c>
      <c r="G440">
        <v>226010</v>
      </c>
    </row>
    <row r="441" spans="6:7" x14ac:dyDescent="0.3">
      <c r="F441" s="8">
        <v>45419</v>
      </c>
      <c r="G441">
        <v>497421</v>
      </c>
    </row>
    <row r="442" spans="6:7" x14ac:dyDescent="0.3">
      <c r="F442" s="8">
        <v>44983</v>
      </c>
      <c r="G442">
        <v>1589864</v>
      </c>
    </row>
    <row r="443" spans="6:7" x14ac:dyDescent="0.3">
      <c r="F443" s="8">
        <v>45374</v>
      </c>
      <c r="G443">
        <v>1863212</v>
      </c>
    </row>
    <row r="444" spans="6:7" x14ac:dyDescent="0.3">
      <c r="F444" s="8">
        <v>45367</v>
      </c>
      <c r="G444">
        <v>1376455</v>
      </c>
    </row>
    <row r="445" spans="6:7" x14ac:dyDescent="0.3">
      <c r="F445" s="8">
        <v>45002</v>
      </c>
      <c r="G445">
        <v>1797442</v>
      </c>
    </row>
    <row r="446" spans="6:7" x14ac:dyDescent="0.3">
      <c r="F446" s="8">
        <v>45323</v>
      </c>
      <c r="G446">
        <v>365341</v>
      </c>
    </row>
    <row r="447" spans="6:7" x14ac:dyDescent="0.3">
      <c r="F447" s="8">
        <v>45394</v>
      </c>
      <c r="G447">
        <v>1190743</v>
      </c>
    </row>
    <row r="448" spans="6:7" x14ac:dyDescent="0.3">
      <c r="F448" s="8">
        <v>44901</v>
      </c>
      <c r="G448">
        <v>1278980</v>
      </c>
    </row>
    <row r="449" spans="6:7" x14ac:dyDescent="0.3">
      <c r="F449" s="8">
        <v>44746</v>
      </c>
      <c r="G449">
        <v>843311</v>
      </c>
    </row>
    <row r="450" spans="6:7" x14ac:dyDescent="0.3">
      <c r="F450" s="8">
        <v>45303</v>
      </c>
      <c r="G450">
        <v>1769124</v>
      </c>
    </row>
    <row r="451" spans="6:7" x14ac:dyDescent="0.3">
      <c r="F451" s="8">
        <v>45422</v>
      </c>
      <c r="G451">
        <v>1312405</v>
      </c>
    </row>
    <row r="452" spans="6:7" x14ac:dyDescent="0.3">
      <c r="F452" s="8">
        <v>44777</v>
      </c>
      <c r="G452">
        <v>1938035</v>
      </c>
    </row>
    <row r="453" spans="6:7" x14ac:dyDescent="0.3">
      <c r="F453" s="8">
        <v>44736</v>
      </c>
      <c r="G453">
        <v>1029599</v>
      </c>
    </row>
    <row r="454" spans="6:7" x14ac:dyDescent="0.3">
      <c r="F454" s="8">
        <v>44688</v>
      </c>
      <c r="G454">
        <v>1431821</v>
      </c>
    </row>
    <row r="455" spans="6:7" x14ac:dyDescent="0.3">
      <c r="F455" s="8">
        <v>45416</v>
      </c>
      <c r="G455">
        <v>102869</v>
      </c>
    </row>
    <row r="456" spans="6:7" x14ac:dyDescent="0.3">
      <c r="F456" s="8">
        <v>45362</v>
      </c>
      <c r="G456">
        <v>1156923</v>
      </c>
    </row>
    <row r="457" spans="6:7" x14ac:dyDescent="0.3">
      <c r="F457" s="8">
        <v>45160</v>
      </c>
      <c r="G457">
        <v>1585162</v>
      </c>
    </row>
    <row r="458" spans="6:7" x14ac:dyDescent="0.3">
      <c r="F458" s="8">
        <v>44615</v>
      </c>
      <c r="G458">
        <v>1937769</v>
      </c>
    </row>
    <row r="459" spans="6:7" x14ac:dyDescent="0.3">
      <c r="F459" s="8">
        <v>45026</v>
      </c>
      <c r="G459">
        <v>382416</v>
      </c>
    </row>
    <row r="460" spans="6:7" x14ac:dyDescent="0.3">
      <c r="F460" s="8">
        <v>44897</v>
      </c>
      <c r="G460">
        <v>1514327</v>
      </c>
    </row>
    <row r="461" spans="6:7" x14ac:dyDescent="0.3">
      <c r="F461" s="8">
        <v>44801</v>
      </c>
      <c r="G461">
        <v>697758</v>
      </c>
    </row>
    <row r="462" spans="6:7" x14ac:dyDescent="0.3">
      <c r="F462" s="8">
        <v>45393</v>
      </c>
      <c r="G462">
        <v>557074</v>
      </c>
    </row>
    <row r="463" spans="6:7" x14ac:dyDescent="0.3">
      <c r="F463" s="8">
        <v>45039</v>
      </c>
      <c r="G463">
        <v>1149044</v>
      </c>
    </row>
    <row r="464" spans="6:7" x14ac:dyDescent="0.3">
      <c r="F464" s="8">
        <v>45355</v>
      </c>
      <c r="G464">
        <v>450093</v>
      </c>
    </row>
    <row r="465" spans="6:7" x14ac:dyDescent="0.3">
      <c r="F465" s="8">
        <v>44756</v>
      </c>
      <c r="G465">
        <v>916858</v>
      </c>
    </row>
    <row r="466" spans="6:7" x14ac:dyDescent="0.3">
      <c r="F466" s="8">
        <v>44664</v>
      </c>
      <c r="G466">
        <v>1367225</v>
      </c>
    </row>
    <row r="467" spans="6:7" x14ac:dyDescent="0.3">
      <c r="F467" s="8">
        <v>45265</v>
      </c>
      <c r="G467">
        <v>1711944</v>
      </c>
    </row>
    <row r="468" spans="6:7" x14ac:dyDescent="0.3">
      <c r="F468" s="8">
        <v>45542</v>
      </c>
      <c r="G468">
        <v>716186</v>
      </c>
    </row>
    <row r="469" spans="6:7" x14ac:dyDescent="0.3">
      <c r="F469" s="8">
        <v>45200</v>
      </c>
      <c r="G469">
        <v>104923</v>
      </c>
    </row>
    <row r="470" spans="6:7" x14ac:dyDescent="0.3">
      <c r="F470" s="8">
        <v>45317</v>
      </c>
      <c r="G470">
        <v>1443459</v>
      </c>
    </row>
    <row r="471" spans="6:7" x14ac:dyDescent="0.3">
      <c r="F471" s="8">
        <v>45496</v>
      </c>
      <c r="G471">
        <v>347317</v>
      </c>
    </row>
    <row r="472" spans="6:7" x14ac:dyDescent="0.3">
      <c r="F472" s="8">
        <v>45555</v>
      </c>
      <c r="G472">
        <v>1445439</v>
      </c>
    </row>
    <row r="473" spans="6:7" x14ac:dyDescent="0.3">
      <c r="F473" s="8">
        <v>45319</v>
      </c>
      <c r="G473">
        <v>523743</v>
      </c>
    </row>
    <row r="474" spans="6:7" x14ac:dyDescent="0.3">
      <c r="F474" s="8">
        <v>45315</v>
      </c>
      <c r="G474">
        <v>1679052</v>
      </c>
    </row>
    <row r="475" spans="6:7" x14ac:dyDescent="0.3">
      <c r="F475" s="8">
        <v>45303</v>
      </c>
      <c r="G475">
        <v>1462239</v>
      </c>
    </row>
    <row r="476" spans="6:7" x14ac:dyDescent="0.3">
      <c r="F476" s="8">
        <v>45534</v>
      </c>
      <c r="G476">
        <v>260027</v>
      </c>
    </row>
    <row r="477" spans="6:7" x14ac:dyDescent="0.3">
      <c r="F477" s="8">
        <v>45293</v>
      </c>
      <c r="G477">
        <v>927343</v>
      </c>
    </row>
    <row r="478" spans="6:7" x14ac:dyDescent="0.3">
      <c r="F478" s="8">
        <v>44968</v>
      </c>
      <c r="G478">
        <v>1174900</v>
      </c>
    </row>
    <row r="479" spans="6:7" x14ac:dyDescent="0.3">
      <c r="F479" s="8">
        <v>45101</v>
      </c>
      <c r="G479">
        <v>1791103</v>
      </c>
    </row>
    <row r="480" spans="6:7" x14ac:dyDescent="0.3">
      <c r="F480" s="8">
        <v>44723</v>
      </c>
      <c r="G480">
        <v>686787</v>
      </c>
    </row>
    <row r="481" spans="6:7" x14ac:dyDescent="0.3">
      <c r="F481" s="8">
        <v>44717</v>
      </c>
      <c r="G481">
        <v>278875</v>
      </c>
    </row>
    <row r="482" spans="6:7" x14ac:dyDescent="0.3">
      <c r="F482" s="8">
        <v>44901</v>
      </c>
      <c r="G482">
        <v>1077451</v>
      </c>
    </row>
    <row r="483" spans="6:7" x14ac:dyDescent="0.3">
      <c r="F483" s="8">
        <v>45441</v>
      </c>
      <c r="G483">
        <v>665083</v>
      </c>
    </row>
    <row r="484" spans="6:7" x14ac:dyDescent="0.3">
      <c r="F484" s="8">
        <v>45506</v>
      </c>
      <c r="G484">
        <v>1345643</v>
      </c>
    </row>
    <row r="485" spans="6:7" x14ac:dyDescent="0.3">
      <c r="F485" s="8">
        <v>45192</v>
      </c>
      <c r="G485">
        <v>1193254</v>
      </c>
    </row>
    <row r="486" spans="6:7" x14ac:dyDescent="0.3">
      <c r="F486" s="8">
        <v>44848</v>
      </c>
      <c r="G486">
        <v>1118104</v>
      </c>
    </row>
    <row r="487" spans="6:7" x14ac:dyDescent="0.3">
      <c r="F487" s="8">
        <v>45110</v>
      </c>
      <c r="G487">
        <v>213911</v>
      </c>
    </row>
    <row r="488" spans="6:7" x14ac:dyDescent="0.3">
      <c r="F488" s="8">
        <v>45508</v>
      </c>
      <c r="G488">
        <v>699657</v>
      </c>
    </row>
    <row r="489" spans="6:7" x14ac:dyDescent="0.3">
      <c r="F489" s="8">
        <v>45284</v>
      </c>
      <c r="G489">
        <v>1147339</v>
      </c>
    </row>
    <row r="490" spans="6:7" x14ac:dyDescent="0.3">
      <c r="F490" s="8">
        <v>45002</v>
      </c>
      <c r="G490">
        <v>878630</v>
      </c>
    </row>
    <row r="491" spans="6:7" x14ac:dyDescent="0.3">
      <c r="F491" s="8">
        <v>44583</v>
      </c>
      <c r="G491">
        <v>843619</v>
      </c>
    </row>
    <row r="492" spans="6:7" x14ac:dyDescent="0.3">
      <c r="F492" s="8">
        <v>44630</v>
      </c>
      <c r="G492">
        <v>976503</v>
      </c>
    </row>
    <row r="493" spans="6:7" x14ac:dyDescent="0.3">
      <c r="F493" s="8">
        <v>44788</v>
      </c>
      <c r="G493">
        <v>1702003</v>
      </c>
    </row>
    <row r="494" spans="6:7" x14ac:dyDescent="0.3">
      <c r="F494" s="8">
        <v>44849</v>
      </c>
      <c r="G494">
        <v>369219</v>
      </c>
    </row>
    <row r="495" spans="6:7" x14ac:dyDescent="0.3">
      <c r="F495" s="8">
        <v>44690</v>
      </c>
      <c r="G495">
        <v>1167871</v>
      </c>
    </row>
    <row r="496" spans="6:7" x14ac:dyDescent="0.3">
      <c r="F496" s="8">
        <v>45326</v>
      </c>
      <c r="G496">
        <v>686353</v>
      </c>
    </row>
    <row r="497" spans="6:7" x14ac:dyDescent="0.3">
      <c r="F497" s="8">
        <v>45314</v>
      </c>
      <c r="G497">
        <v>1973428</v>
      </c>
    </row>
    <row r="498" spans="6:7" x14ac:dyDescent="0.3">
      <c r="F498" s="8">
        <v>45166</v>
      </c>
      <c r="G498">
        <v>230051</v>
      </c>
    </row>
    <row r="499" spans="6:7" x14ac:dyDescent="0.3">
      <c r="F499" s="8">
        <v>44677</v>
      </c>
      <c r="G499">
        <v>848197</v>
      </c>
    </row>
    <row r="500" spans="6:7" x14ac:dyDescent="0.3">
      <c r="F500" s="8">
        <v>44584</v>
      </c>
      <c r="G500">
        <v>1512915</v>
      </c>
    </row>
    <row r="501" spans="6:7" x14ac:dyDescent="0.3">
      <c r="F501" s="8">
        <v>44947</v>
      </c>
      <c r="G501">
        <v>217876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
  <sheetViews>
    <sheetView workbookViewId="0"/>
  </sheetViews>
  <sheetFormatPr defaultRowHeight="14.4" x14ac:dyDescent="0.3"/>
  <cols>
    <col min="1" max="1" width="16" bestFit="1" customWidth="1"/>
    <col min="2" max="2" width="11.33203125" bestFit="1" customWidth="1"/>
  </cols>
  <sheetData>
    <row r="1" spans="1:2" x14ac:dyDescent="0.3">
      <c r="A1" s="1" t="s">
        <v>940</v>
      </c>
      <c r="B1" s="1" t="s">
        <v>941</v>
      </c>
    </row>
    <row r="2" spans="1:2" x14ac:dyDescent="0.3">
      <c r="A2" t="s">
        <v>942</v>
      </c>
      <c r="B2" t="s">
        <v>943</v>
      </c>
    </row>
    <row r="3" spans="1:2" x14ac:dyDescent="0.3">
      <c r="A3" t="s">
        <v>944</v>
      </c>
      <c r="B3" t="s">
        <v>945</v>
      </c>
    </row>
    <row r="4" spans="1:2" x14ac:dyDescent="0.3">
      <c r="A4" t="s">
        <v>946</v>
      </c>
      <c r="B4" t="s">
        <v>947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85567-7ED5-42D0-ABF7-560BDD0CB657}">
  <dimension ref="A1:B7"/>
  <sheetViews>
    <sheetView workbookViewId="0">
      <selection activeCell="B7" sqref="B7"/>
    </sheetView>
  </sheetViews>
  <sheetFormatPr defaultRowHeight="14.4" x14ac:dyDescent="0.3"/>
  <cols>
    <col min="1" max="1" width="19.77734375" customWidth="1"/>
    <col min="2" max="2" width="18.6640625" bestFit="1" customWidth="1"/>
  </cols>
  <sheetData>
    <row r="1" spans="1:2" x14ac:dyDescent="0.3">
      <c r="A1" s="3" t="s">
        <v>951</v>
      </c>
      <c r="B1" s="3" t="s">
        <v>952</v>
      </c>
    </row>
    <row r="2" spans="1:2" ht="21" x14ac:dyDescent="0.3">
      <c r="A2" s="3" t="s">
        <v>953</v>
      </c>
      <c r="B2" s="4">
        <f>COUNTA(Loan_Data!A:A)</f>
        <v>501</v>
      </c>
    </row>
    <row r="3" spans="1:2" ht="21" x14ac:dyDescent="0.3">
      <c r="A3" s="3" t="s">
        <v>954</v>
      </c>
      <c r="B3" s="5">
        <f>SUM(Loan_Data!E:E)</f>
        <v>515367756</v>
      </c>
    </row>
    <row r="4" spans="1:2" ht="21" x14ac:dyDescent="0.3">
      <c r="A4" s="3" t="s">
        <v>955</v>
      </c>
      <c r="B4" s="4">
        <f>COUNTIF(Loan_Data!L:L,"Active")</f>
        <v>306</v>
      </c>
    </row>
    <row r="5" spans="1:2" ht="21" x14ac:dyDescent="0.3">
      <c r="A5" s="3" t="s">
        <v>956</v>
      </c>
      <c r="B5" s="6">
        <f>COUNTIF(Loan_Data!L:L,"Defaulted")/ (COUNTA(Loan_Data!A:A))</f>
        <v>9.580838323353294E-2</v>
      </c>
    </row>
    <row r="6" spans="1:2" ht="21" x14ac:dyDescent="0.3">
      <c r="A6" s="3" t="s">
        <v>957</v>
      </c>
      <c r="B6" s="4">
        <f>AVERAGE(Loan_Data!H:H)</f>
        <v>657.452</v>
      </c>
    </row>
    <row r="7" spans="1:2" ht="21" x14ac:dyDescent="0.3">
      <c r="A7" s="3" t="s">
        <v>958</v>
      </c>
      <c r="B7" s="4">
        <f>COUNTIF(Loan_Data!Q:Q,"High Risk")</f>
        <v>161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Loan_Data</vt:lpstr>
      <vt:lpstr>Customer_Master</vt:lpstr>
      <vt:lpstr>Risk_Rules</vt: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sagar gulia</cp:lastModifiedBy>
  <dcterms:created xsi:type="dcterms:W3CDTF">2026-02-28T18:17:22Z</dcterms:created>
  <dcterms:modified xsi:type="dcterms:W3CDTF">2026-03-10T12:10:16Z</dcterms:modified>
</cp:coreProperties>
</file>